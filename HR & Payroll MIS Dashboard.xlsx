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76d752d34db0db/Desktop/"/>
    </mc:Choice>
  </mc:AlternateContent>
  <xr:revisionPtr revIDLastSave="0" documentId="8_{716E8A42-DD19-49E1-BA02-83BD40BAA2B9}" xr6:coauthVersionLast="47" xr6:coauthVersionMax="47" xr10:uidLastSave="{00000000-0000-0000-0000-000000000000}"/>
  <bookViews>
    <workbookView xWindow="-510" yWindow="0" windowWidth="21600" windowHeight="11835" firstSheet="1" activeTab="2" xr2:uid="{99BF3160-626D-44DD-890F-7EBADEB2B2B6}"/>
  </bookViews>
  <sheets>
    <sheet name="EMP_MASTER" sheetId="1" r:id="rId1"/>
    <sheet name="Attendance" sheetId="2" r:id="rId2"/>
    <sheet name="PAYROLL" sheetId="3" r:id="rId3"/>
    <sheet name="DASHBOARD" sheetId="4" r:id="rId4"/>
    <sheet name="PAYSLIP" sheetId="5" r:id="rId5"/>
  </sheets>
  <definedNames>
    <definedName name="_xlnm.Print_Area" localSheetId="4">PAYSLIP!$A$1:$H$35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5" l="1"/>
  <c r="D20" i="5"/>
  <c r="D18" i="5"/>
  <c r="H21" i="5" s="1"/>
  <c r="G15" i="5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2" i="2"/>
  <c r="T5" i="4"/>
  <c r="G14" i="5"/>
  <c r="G13" i="5"/>
  <c r="G12" i="5"/>
  <c r="G11" i="5"/>
  <c r="G10" i="5"/>
  <c r="C15" i="5"/>
  <c r="C14" i="5"/>
  <c r="C13" i="5"/>
  <c r="C12" i="5"/>
  <c r="C11" i="5"/>
  <c r="C10" i="5"/>
  <c r="C9" i="5"/>
  <c r="B5" i="4"/>
  <c r="K5" i="4"/>
  <c r="AC5" i="4"/>
  <c r="D124" i="3"/>
  <c r="AP51" i="4"/>
  <c r="AP50" i="4"/>
  <c r="AP49" i="4"/>
  <c r="D119" i="3"/>
  <c r="D120" i="3"/>
  <c r="D121" i="3"/>
  <c r="D122" i="3"/>
  <c r="D123" i="3"/>
  <c r="D118" i="3"/>
  <c r="B115" i="3"/>
  <c r="B114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J2" i="2"/>
  <c r="L2" i="3" s="1"/>
  <c r="AJ3" i="2"/>
  <c r="L3" i="3" s="1"/>
  <c r="M3" i="3" s="1"/>
  <c r="N3" i="3" s="1"/>
  <c r="O3" i="3" s="1"/>
  <c r="AJ4" i="2"/>
  <c r="L4" i="3" s="1"/>
  <c r="M4" i="3" s="1"/>
  <c r="N4" i="3" s="1"/>
  <c r="O4" i="3" s="1"/>
  <c r="AJ5" i="2"/>
  <c r="L5" i="3" s="1"/>
  <c r="M5" i="3" s="1"/>
  <c r="N5" i="3" s="1"/>
  <c r="O5" i="3" s="1"/>
  <c r="AJ6" i="2"/>
  <c r="L6" i="3" s="1"/>
  <c r="M6" i="3" s="1"/>
  <c r="N6" i="3" s="1"/>
  <c r="O6" i="3" s="1"/>
  <c r="AJ7" i="2"/>
  <c r="L7" i="3" s="1"/>
  <c r="M7" i="3" s="1"/>
  <c r="N7" i="3" s="1"/>
  <c r="O7" i="3" s="1"/>
  <c r="AJ8" i="2"/>
  <c r="L8" i="3" s="1"/>
  <c r="M8" i="3" s="1"/>
  <c r="N8" i="3" s="1"/>
  <c r="O8" i="3" s="1"/>
  <c r="AJ9" i="2"/>
  <c r="L9" i="3" s="1"/>
  <c r="M9" i="3" s="1"/>
  <c r="N9" i="3" s="1"/>
  <c r="O9" i="3" s="1"/>
  <c r="AJ10" i="2"/>
  <c r="L10" i="3" s="1"/>
  <c r="M10" i="3" s="1"/>
  <c r="N10" i="3" s="1"/>
  <c r="O10" i="3" s="1"/>
  <c r="AJ11" i="2"/>
  <c r="L11" i="3" s="1"/>
  <c r="M11" i="3" s="1"/>
  <c r="N11" i="3" s="1"/>
  <c r="O11" i="3" s="1"/>
  <c r="AJ12" i="2"/>
  <c r="L12" i="3" s="1"/>
  <c r="M12" i="3" s="1"/>
  <c r="N12" i="3" s="1"/>
  <c r="O12" i="3" s="1"/>
  <c r="AJ13" i="2"/>
  <c r="L13" i="3" s="1"/>
  <c r="M13" i="3" s="1"/>
  <c r="N13" i="3" s="1"/>
  <c r="O13" i="3" s="1"/>
  <c r="AJ14" i="2"/>
  <c r="L14" i="3" s="1"/>
  <c r="M14" i="3" s="1"/>
  <c r="N14" i="3" s="1"/>
  <c r="O14" i="3" s="1"/>
  <c r="AJ15" i="2"/>
  <c r="L15" i="3" s="1"/>
  <c r="M15" i="3" s="1"/>
  <c r="N15" i="3" s="1"/>
  <c r="O15" i="3" s="1"/>
  <c r="AJ16" i="2"/>
  <c r="L16" i="3" s="1"/>
  <c r="M16" i="3" s="1"/>
  <c r="N16" i="3" s="1"/>
  <c r="O16" i="3" s="1"/>
  <c r="AJ17" i="2"/>
  <c r="L17" i="3" s="1"/>
  <c r="M17" i="3" s="1"/>
  <c r="N17" i="3" s="1"/>
  <c r="O17" i="3" s="1"/>
  <c r="AJ18" i="2"/>
  <c r="L18" i="3" s="1"/>
  <c r="M18" i="3" s="1"/>
  <c r="N18" i="3" s="1"/>
  <c r="O18" i="3" s="1"/>
  <c r="AJ19" i="2"/>
  <c r="L19" i="3" s="1"/>
  <c r="M19" i="3" s="1"/>
  <c r="N19" i="3" s="1"/>
  <c r="O19" i="3" s="1"/>
  <c r="AJ20" i="2"/>
  <c r="L20" i="3" s="1"/>
  <c r="M20" i="3" s="1"/>
  <c r="N20" i="3" s="1"/>
  <c r="O20" i="3" s="1"/>
  <c r="AJ21" i="2"/>
  <c r="L21" i="3" s="1"/>
  <c r="M21" i="3" s="1"/>
  <c r="N21" i="3" s="1"/>
  <c r="O21" i="3" s="1"/>
  <c r="AJ22" i="2"/>
  <c r="L22" i="3" s="1"/>
  <c r="M22" i="3" s="1"/>
  <c r="N22" i="3" s="1"/>
  <c r="O22" i="3" s="1"/>
  <c r="AJ23" i="2"/>
  <c r="L23" i="3" s="1"/>
  <c r="M23" i="3" s="1"/>
  <c r="N23" i="3" s="1"/>
  <c r="O23" i="3" s="1"/>
  <c r="AJ24" i="2"/>
  <c r="L24" i="3" s="1"/>
  <c r="M24" i="3" s="1"/>
  <c r="N24" i="3" s="1"/>
  <c r="O24" i="3" s="1"/>
  <c r="AJ25" i="2"/>
  <c r="L25" i="3" s="1"/>
  <c r="M25" i="3" s="1"/>
  <c r="N25" i="3" s="1"/>
  <c r="O25" i="3" s="1"/>
  <c r="AJ26" i="2"/>
  <c r="L26" i="3" s="1"/>
  <c r="M26" i="3" s="1"/>
  <c r="N26" i="3" s="1"/>
  <c r="O26" i="3" s="1"/>
  <c r="AJ27" i="2"/>
  <c r="L27" i="3" s="1"/>
  <c r="M27" i="3" s="1"/>
  <c r="N27" i="3" s="1"/>
  <c r="O27" i="3" s="1"/>
  <c r="AJ28" i="2"/>
  <c r="L28" i="3" s="1"/>
  <c r="M28" i="3" s="1"/>
  <c r="N28" i="3" s="1"/>
  <c r="O28" i="3" s="1"/>
  <c r="AJ29" i="2"/>
  <c r="L29" i="3" s="1"/>
  <c r="M29" i="3" s="1"/>
  <c r="N29" i="3" s="1"/>
  <c r="O29" i="3" s="1"/>
  <c r="AJ30" i="2"/>
  <c r="L30" i="3" s="1"/>
  <c r="M30" i="3" s="1"/>
  <c r="N30" i="3" s="1"/>
  <c r="O30" i="3" s="1"/>
  <c r="AJ31" i="2"/>
  <c r="L31" i="3" s="1"/>
  <c r="M31" i="3" s="1"/>
  <c r="N31" i="3" s="1"/>
  <c r="O31" i="3" s="1"/>
  <c r="AJ32" i="2"/>
  <c r="L32" i="3" s="1"/>
  <c r="M32" i="3" s="1"/>
  <c r="N32" i="3" s="1"/>
  <c r="O32" i="3" s="1"/>
  <c r="AJ33" i="2"/>
  <c r="L33" i="3" s="1"/>
  <c r="M33" i="3" s="1"/>
  <c r="N33" i="3" s="1"/>
  <c r="O33" i="3" s="1"/>
  <c r="AJ34" i="2"/>
  <c r="L34" i="3" s="1"/>
  <c r="M34" i="3" s="1"/>
  <c r="N34" i="3" s="1"/>
  <c r="O34" i="3" s="1"/>
  <c r="AJ35" i="2"/>
  <c r="L35" i="3" s="1"/>
  <c r="M35" i="3" s="1"/>
  <c r="N35" i="3" s="1"/>
  <c r="AJ36" i="2"/>
  <c r="L36" i="3" s="1"/>
  <c r="M36" i="3" s="1"/>
  <c r="N36" i="3" s="1"/>
  <c r="O36" i="3" s="1"/>
  <c r="AJ37" i="2"/>
  <c r="L37" i="3" s="1"/>
  <c r="M37" i="3" s="1"/>
  <c r="N37" i="3" s="1"/>
  <c r="O37" i="3" s="1"/>
  <c r="AJ38" i="2"/>
  <c r="L38" i="3" s="1"/>
  <c r="M38" i="3" s="1"/>
  <c r="N38" i="3" s="1"/>
  <c r="O38" i="3" s="1"/>
  <c r="AJ39" i="2"/>
  <c r="L39" i="3" s="1"/>
  <c r="M39" i="3" s="1"/>
  <c r="N39" i="3" s="1"/>
  <c r="O39" i="3" s="1"/>
  <c r="AJ40" i="2"/>
  <c r="L40" i="3" s="1"/>
  <c r="M40" i="3" s="1"/>
  <c r="N40" i="3" s="1"/>
  <c r="O40" i="3" s="1"/>
  <c r="AJ41" i="2"/>
  <c r="L41" i="3" s="1"/>
  <c r="M41" i="3" s="1"/>
  <c r="N41" i="3" s="1"/>
  <c r="O41" i="3" s="1"/>
  <c r="AJ42" i="2"/>
  <c r="L42" i="3" s="1"/>
  <c r="M42" i="3" s="1"/>
  <c r="N42" i="3" s="1"/>
  <c r="O42" i="3" s="1"/>
  <c r="AJ43" i="2"/>
  <c r="L43" i="3" s="1"/>
  <c r="M43" i="3" s="1"/>
  <c r="N43" i="3" s="1"/>
  <c r="O43" i="3" s="1"/>
  <c r="AJ44" i="2"/>
  <c r="L44" i="3" s="1"/>
  <c r="M44" i="3" s="1"/>
  <c r="N44" i="3" s="1"/>
  <c r="O44" i="3" s="1"/>
  <c r="AJ45" i="2"/>
  <c r="L45" i="3" s="1"/>
  <c r="M45" i="3" s="1"/>
  <c r="N45" i="3" s="1"/>
  <c r="O45" i="3" s="1"/>
  <c r="AJ46" i="2"/>
  <c r="L46" i="3" s="1"/>
  <c r="M46" i="3" s="1"/>
  <c r="N46" i="3" s="1"/>
  <c r="O46" i="3" s="1"/>
  <c r="AJ47" i="2"/>
  <c r="L47" i="3" s="1"/>
  <c r="M47" i="3" s="1"/>
  <c r="N47" i="3" s="1"/>
  <c r="O47" i="3" s="1"/>
  <c r="AJ48" i="2"/>
  <c r="L48" i="3" s="1"/>
  <c r="M48" i="3" s="1"/>
  <c r="N48" i="3" s="1"/>
  <c r="O48" i="3" s="1"/>
  <c r="AJ49" i="2"/>
  <c r="L49" i="3" s="1"/>
  <c r="M49" i="3" s="1"/>
  <c r="N49" i="3" s="1"/>
  <c r="O49" i="3" s="1"/>
  <c r="AJ50" i="2"/>
  <c r="L50" i="3" s="1"/>
  <c r="M50" i="3" s="1"/>
  <c r="N50" i="3" s="1"/>
  <c r="O50" i="3" s="1"/>
  <c r="AJ51" i="2"/>
  <c r="L51" i="3" s="1"/>
  <c r="M51" i="3" s="1"/>
  <c r="N51" i="3" s="1"/>
  <c r="O51" i="3" s="1"/>
  <c r="AJ52" i="2"/>
  <c r="L52" i="3" s="1"/>
  <c r="M52" i="3" s="1"/>
  <c r="N52" i="3" s="1"/>
  <c r="O52" i="3" s="1"/>
  <c r="AJ53" i="2"/>
  <c r="L53" i="3" s="1"/>
  <c r="M53" i="3" s="1"/>
  <c r="N53" i="3" s="1"/>
  <c r="O53" i="3" s="1"/>
  <c r="AJ54" i="2"/>
  <c r="L54" i="3" s="1"/>
  <c r="M54" i="3" s="1"/>
  <c r="N54" i="3" s="1"/>
  <c r="O54" i="3" s="1"/>
  <c r="AJ55" i="2"/>
  <c r="L55" i="3" s="1"/>
  <c r="M55" i="3" s="1"/>
  <c r="N55" i="3" s="1"/>
  <c r="O55" i="3" s="1"/>
  <c r="AJ56" i="2"/>
  <c r="L56" i="3" s="1"/>
  <c r="M56" i="3" s="1"/>
  <c r="N56" i="3" s="1"/>
  <c r="AJ57" i="2"/>
  <c r="L57" i="3" s="1"/>
  <c r="M57" i="3" s="1"/>
  <c r="N57" i="3" s="1"/>
  <c r="O57" i="3" s="1"/>
  <c r="AJ58" i="2"/>
  <c r="L58" i="3" s="1"/>
  <c r="M58" i="3" s="1"/>
  <c r="N58" i="3" s="1"/>
  <c r="O58" i="3" s="1"/>
  <c r="AJ59" i="2"/>
  <c r="L59" i="3" s="1"/>
  <c r="M59" i="3" s="1"/>
  <c r="N59" i="3" s="1"/>
  <c r="O59" i="3" s="1"/>
  <c r="AJ60" i="2"/>
  <c r="L60" i="3" s="1"/>
  <c r="M60" i="3" s="1"/>
  <c r="N60" i="3" s="1"/>
  <c r="O60" i="3" s="1"/>
  <c r="AJ61" i="2"/>
  <c r="L61" i="3" s="1"/>
  <c r="M61" i="3" s="1"/>
  <c r="N61" i="3" s="1"/>
  <c r="O61" i="3" s="1"/>
  <c r="AJ62" i="2"/>
  <c r="L62" i="3" s="1"/>
  <c r="M62" i="3" s="1"/>
  <c r="N62" i="3" s="1"/>
  <c r="O62" i="3" s="1"/>
  <c r="AJ63" i="2"/>
  <c r="L63" i="3" s="1"/>
  <c r="M63" i="3" s="1"/>
  <c r="N63" i="3" s="1"/>
  <c r="O63" i="3" s="1"/>
  <c r="AJ64" i="2"/>
  <c r="L64" i="3" s="1"/>
  <c r="M64" i="3" s="1"/>
  <c r="N64" i="3" s="1"/>
  <c r="O64" i="3" s="1"/>
  <c r="AJ65" i="2"/>
  <c r="L65" i="3" s="1"/>
  <c r="M65" i="3" s="1"/>
  <c r="N65" i="3" s="1"/>
  <c r="O65" i="3" s="1"/>
  <c r="AJ66" i="2"/>
  <c r="L66" i="3" s="1"/>
  <c r="M66" i="3" s="1"/>
  <c r="N66" i="3" s="1"/>
  <c r="O66" i="3" s="1"/>
  <c r="AJ67" i="2"/>
  <c r="L67" i="3" s="1"/>
  <c r="M67" i="3" s="1"/>
  <c r="N67" i="3" s="1"/>
  <c r="O67" i="3" s="1"/>
  <c r="AJ68" i="2"/>
  <c r="L68" i="3" s="1"/>
  <c r="M68" i="3" s="1"/>
  <c r="N68" i="3" s="1"/>
  <c r="O68" i="3" s="1"/>
  <c r="AJ69" i="2"/>
  <c r="L69" i="3" s="1"/>
  <c r="M69" i="3" s="1"/>
  <c r="N69" i="3" s="1"/>
  <c r="O69" i="3" s="1"/>
  <c r="AJ70" i="2"/>
  <c r="L70" i="3" s="1"/>
  <c r="M70" i="3" s="1"/>
  <c r="N70" i="3" s="1"/>
  <c r="O70" i="3" s="1"/>
  <c r="AJ71" i="2"/>
  <c r="L71" i="3" s="1"/>
  <c r="M71" i="3" s="1"/>
  <c r="N71" i="3" s="1"/>
  <c r="O71" i="3" s="1"/>
  <c r="AJ72" i="2"/>
  <c r="L72" i="3" s="1"/>
  <c r="M72" i="3" s="1"/>
  <c r="N72" i="3" s="1"/>
  <c r="AJ73" i="2"/>
  <c r="L73" i="3" s="1"/>
  <c r="M73" i="3" s="1"/>
  <c r="N73" i="3" s="1"/>
  <c r="O73" i="3" s="1"/>
  <c r="AJ74" i="2"/>
  <c r="L74" i="3" s="1"/>
  <c r="M74" i="3" s="1"/>
  <c r="N74" i="3" s="1"/>
  <c r="O74" i="3" s="1"/>
  <c r="AJ75" i="2"/>
  <c r="L75" i="3" s="1"/>
  <c r="M75" i="3" s="1"/>
  <c r="N75" i="3" s="1"/>
  <c r="O75" i="3" s="1"/>
  <c r="AJ76" i="2"/>
  <c r="L76" i="3" s="1"/>
  <c r="M76" i="3" s="1"/>
  <c r="N76" i="3" s="1"/>
  <c r="O76" i="3" s="1"/>
  <c r="AJ77" i="2"/>
  <c r="L77" i="3" s="1"/>
  <c r="M77" i="3" s="1"/>
  <c r="N77" i="3" s="1"/>
  <c r="O77" i="3" s="1"/>
  <c r="AJ78" i="2"/>
  <c r="L78" i="3" s="1"/>
  <c r="M78" i="3" s="1"/>
  <c r="N78" i="3" s="1"/>
  <c r="O78" i="3" s="1"/>
  <c r="AJ79" i="2"/>
  <c r="L79" i="3" s="1"/>
  <c r="M79" i="3" s="1"/>
  <c r="N79" i="3" s="1"/>
  <c r="O79" i="3" s="1"/>
  <c r="AJ80" i="2"/>
  <c r="L80" i="3" s="1"/>
  <c r="M80" i="3" s="1"/>
  <c r="N80" i="3" s="1"/>
  <c r="O80" i="3" s="1"/>
  <c r="AJ81" i="2"/>
  <c r="L81" i="3" s="1"/>
  <c r="M81" i="3" s="1"/>
  <c r="N81" i="3" s="1"/>
  <c r="O81" i="3" s="1"/>
  <c r="AJ82" i="2"/>
  <c r="L82" i="3" s="1"/>
  <c r="M82" i="3" s="1"/>
  <c r="N82" i="3" s="1"/>
  <c r="O82" i="3" s="1"/>
  <c r="AJ83" i="2"/>
  <c r="L83" i="3" s="1"/>
  <c r="M83" i="3" s="1"/>
  <c r="N83" i="3" s="1"/>
  <c r="O83" i="3" s="1"/>
  <c r="AJ84" i="2"/>
  <c r="L84" i="3" s="1"/>
  <c r="M84" i="3" s="1"/>
  <c r="N84" i="3" s="1"/>
  <c r="O84" i="3" s="1"/>
  <c r="AJ85" i="2"/>
  <c r="L85" i="3" s="1"/>
  <c r="M85" i="3" s="1"/>
  <c r="N85" i="3" s="1"/>
  <c r="O85" i="3" s="1"/>
  <c r="AJ86" i="2"/>
  <c r="L86" i="3" s="1"/>
  <c r="M86" i="3" s="1"/>
  <c r="N86" i="3" s="1"/>
  <c r="O86" i="3" s="1"/>
  <c r="AJ87" i="2"/>
  <c r="L87" i="3" s="1"/>
  <c r="M87" i="3" s="1"/>
  <c r="N87" i="3" s="1"/>
  <c r="O87" i="3" s="1"/>
  <c r="AJ88" i="2"/>
  <c r="L88" i="3" s="1"/>
  <c r="M88" i="3" s="1"/>
  <c r="N88" i="3" s="1"/>
  <c r="AJ89" i="2"/>
  <c r="L89" i="3" s="1"/>
  <c r="M89" i="3" s="1"/>
  <c r="N89" i="3" s="1"/>
  <c r="O89" i="3" s="1"/>
  <c r="AJ90" i="2"/>
  <c r="L90" i="3" s="1"/>
  <c r="M90" i="3" s="1"/>
  <c r="N90" i="3" s="1"/>
  <c r="O90" i="3" s="1"/>
  <c r="AJ91" i="2"/>
  <c r="L91" i="3" s="1"/>
  <c r="M91" i="3" s="1"/>
  <c r="N91" i="3" s="1"/>
  <c r="O91" i="3" s="1"/>
  <c r="AJ92" i="2"/>
  <c r="L92" i="3" s="1"/>
  <c r="M92" i="3" s="1"/>
  <c r="N92" i="3" s="1"/>
  <c r="O92" i="3" s="1"/>
  <c r="AJ93" i="2"/>
  <c r="L93" i="3" s="1"/>
  <c r="M93" i="3" s="1"/>
  <c r="N93" i="3" s="1"/>
  <c r="O93" i="3" s="1"/>
  <c r="AJ94" i="2"/>
  <c r="L94" i="3" s="1"/>
  <c r="M94" i="3" s="1"/>
  <c r="N94" i="3" s="1"/>
  <c r="AJ95" i="2"/>
  <c r="L95" i="3" s="1"/>
  <c r="M95" i="3" s="1"/>
  <c r="N95" i="3" s="1"/>
  <c r="O95" i="3" s="1"/>
  <c r="AJ96" i="2"/>
  <c r="L96" i="3" s="1"/>
  <c r="M96" i="3" s="1"/>
  <c r="N96" i="3" s="1"/>
  <c r="O96" i="3" s="1"/>
  <c r="AJ97" i="2"/>
  <c r="L97" i="3" s="1"/>
  <c r="M97" i="3" s="1"/>
  <c r="N97" i="3" s="1"/>
  <c r="O97" i="3" s="1"/>
  <c r="AJ98" i="2"/>
  <c r="L98" i="3" s="1"/>
  <c r="M98" i="3" s="1"/>
  <c r="N98" i="3" s="1"/>
  <c r="O98" i="3" s="1"/>
  <c r="AJ99" i="2"/>
  <c r="L99" i="3" s="1"/>
  <c r="M99" i="3" s="1"/>
  <c r="N99" i="3" s="1"/>
  <c r="O99" i="3" s="1"/>
  <c r="AJ100" i="2"/>
  <c r="L100" i="3" s="1"/>
  <c r="M100" i="3" s="1"/>
  <c r="N100" i="3" s="1"/>
  <c r="AJ101" i="2"/>
  <c r="L101" i="3" s="1"/>
  <c r="M101" i="3" s="1"/>
  <c r="N101" i="3" s="1"/>
  <c r="O101" i="3" s="1"/>
  <c r="AJ102" i="2"/>
  <c r="L102" i="3" s="1"/>
  <c r="M102" i="3" s="1"/>
  <c r="N102" i="3" s="1"/>
  <c r="O102" i="3" s="1"/>
  <c r="AJ103" i="2"/>
  <c r="L103" i="3" s="1"/>
  <c r="M103" i="3" s="1"/>
  <c r="N103" i="3" s="1"/>
  <c r="O103" i="3" s="1"/>
  <c r="AJ104" i="2"/>
  <c r="L104" i="3" s="1"/>
  <c r="M104" i="3" s="1"/>
  <c r="N104" i="3" s="1"/>
  <c r="O104" i="3" s="1"/>
  <c r="AJ105" i="2"/>
  <c r="L105" i="3" s="1"/>
  <c r="M105" i="3" s="1"/>
  <c r="N105" i="3" s="1"/>
  <c r="O105" i="3" s="1"/>
  <c r="AJ106" i="2"/>
  <c r="L106" i="3" s="1"/>
  <c r="M106" i="3" s="1"/>
  <c r="N106" i="3" s="1"/>
  <c r="O106" i="3" s="1"/>
  <c r="AJ107" i="2"/>
  <c r="L107" i="3" s="1"/>
  <c r="M107" i="3" s="1"/>
  <c r="N107" i="3" s="1"/>
  <c r="O107" i="3" s="1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C2" i="2"/>
  <c r="C115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D23" i="5" l="1"/>
  <c r="H18" i="5"/>
  <c r="C119" i="3"/>
  <c r="O35" i="3"/>
  <c r="B119" i="3"/>
  <c r="B124" i="3"/>
  <c r="C124" i="3"/>
  <c r="O94" i="3"/>
  <c r="B120" i="3"/>
  <c r="C120" i="3"/>
  <c r="O56" i="3"/>
  <c r="O100" i="3"/>
  <c r="B123" i="3"/>
  <c r="C123" i="3"/>
  <c r="B122" i="3"/>
  <c r="O88" i="3"/>
  <c r="C122" i="3"/>
  <c r="B116" i="3"/>
  <c r="M2" i="3"/>
  <c r="N2" i="3" s="1"/>
  <c r="B121" i="3"/>
  <c r="C121" i="3"/>
  <c r="O72" i="3"/>
  <c r="B116" i="2"/>
  <c r="C116" i="2"/>
  <c r="G116" i="3"/>
  <c r="C111" i="2"/>
  <c r="B117" i="2"/>
  <c r="B111" i="2"/>
  <c r="C117" i="2"/>
  <c r="B112" i="2"/>
  <c r="C112" i="2"/>
  <c r="B113" i="2"/>
  <c r="C113" i="2"/>
  <c r="B114" i="2"/>
  <c r="C114" i="2"/>
  <c r="B115" i="2"/>
  <c r="H20" i="5" l="1"/>
  <c r="H19" i="5"/>
  <c r="H23" i="5" s="1"/>
  <c r="A25" i="5" s="1"/>
  <c r="O2" i="3"/>
  <c r="B118" i="3"/>
  <c r="B113" i="3"/>
  <c r="B112" i="3"/>
  <c r="C118" i="3"/>
  <c r="B111" i="3"/>
  <c r="B110" i="3"/>
  <c r="AP46" i="4" l="1"/>
  <c r="AP45" i="4"/>
  <c r="AP44" i="4"/>
  <c r="AP4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Gulshan</author>
  </authors>
  <commentList>
    <comment ref="I1" authorId="0" shapeId="0" xr:uid="{1A99877D-E3FA-4E34-AA57-358E41766446}">
      <text>
        <r>
          <rPr>
            <b/>
            <sz val="9"/>
            <color indexed="81"/>
            <rFont val="Tahoma"/>
            <family val="2"/>
          </rPr>
          <t>Gulshan:</t>
        </r>
        <r>
          <rPr>
            <sz val="9"/>
            <color indexed="81"/>
            <rFont val="Tahoma"/>
            <family val="2"/>
          </rPr>
          <t xml:space="preserve">
Rule: 12% of Basic Salary — only if Basic &gt; ₹15,000</t>
        </r>
      </text>
    </comment>
    <comment ref="J1" authorId="0" shapeId="0" xr:uid="{F69BFAC6-3445-41ED-B40D-FE00FB5A8CF1}">
      <text>
        <r>
          <rPr>
            <b/>
            <sz val="9"/>
            <color indexed="81"/>
            <rFont val="Tahoma"/>
            <family val="2"/>
          </rPr>
          <t>Gulshan:</t>
        </r>
        <r>
          <rPr>
            <sz val="9"/>
            <color indexed="81"/>
            <rFont val="Tahoma"/>
            <family val="2"/>
          </rPr>
          <t xml:space="preserve">
Rule: 0.75% of Gross Salary — only if Gross &lt; ₹21,000
</t>
        </r>
      </text>
    </comment>
    <comment ref="K1" authorId="0" shapeId="0" xr:uid="{A4853010-BD57-4D3A-A4DB-844B3EB1B3AE}">
      <text>
        <r>
          <rPr>
            <b/>
            <sz val="9"/>
            <color indexed="81"/>
            <rFont val="Tahoma"/>
            <family val="2"/>
          </rPr>
          <t>Gulshan:</t>
        </r>
        <r>
          <rPr>
            <sz val="9"/>
            <color indexed="81"/>
            <rFont val="Tahoma"/>
            <family val="2"/>
          </rPr>
          <t xml:space="preserve">
Rule: Slab-based on Gross Salary (Delhi slabs)
</t>
        </r>
      </text>
    </comment>
    <comment ref="L1" authorId="0" shapeId="0" xr:uid="{19C54948-2FD7-43D8-99B1-436BD784C857}">
      <text>
        <r>
          <rPr>
            <b/>
            <sz val="9"/>
            <color indexed="81"/>
            <rFont val="Tahoma"/>
            <family val="2"/>
          </rPr>
          <t>Gulshan:</t>
        </r>
        <r>
          <rPr>
            <sz val="9"/>
            <color indexed="81"/>
            <rFont val="Tahoma"/>
            <family val="2"/>
          </rPr>
          <t xml:space="preserve">
Rule: Deduct per day salary for each Absent day
</t>
        </r>
      </text>
    </comment>
  </commentList>
</comments>
</file>

<file path=xl/sharedStrings.xml><?xml version="1.0" encoding="utf-8"?>
<sst xmlns="http://schemas.openxmlformats.org/spreadsheetml/2006/main" count="4486" uniqueCount="549">
  <si>
    <t>Emp_ID</t>
  </si>
  <si>
    <t>Department</t>
  </si>
  <si>
    <t>Date_of_Joining</t>
  </si>
  <si>
    <t>Employment_Type</t>
  </si>
  <si>
    <t>Basic_Salary</t>
  </si>
  <si>
    <t>HRA_%</t>
  </si>
  <si>
    <t>DA_%</t>
  </si>
  <si>
    <t>Bank_Account</t>
  </si>
  <si>
    <t>PAN</t>
  </si>
  <si>
    <t>Status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</si>
  <si>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</si>
  <si>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</si>
  <si>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</si>
  <si>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</si>
  <si>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</si>
  <si>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</si>
  <si>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</si>
  <si>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</si>
  <si>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</si>
  <si>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</si>
  <si>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</si>
  <si>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</si>
  <si>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</si>
  <si>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</si>
  <si>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</si>
  <si>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</si>
  <si>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</si>
  <si>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</si>
  <si>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</si>
  <si>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</si>
  <si>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</si>
  <si>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</si>
  <si>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</si>
  <si>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</si>
  <si>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</si>
  <si>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</si>
  <si>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</si>
  <si>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</si>
  <si>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</si>
  <si>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</si>
  <si>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</si>
  <si>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</si>
  <si>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</si>
  <si>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</si>
  <si>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</si>
  <si>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</si>
  <si>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</si>
  <si>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</si>
  <si>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</si>
  <si>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</si>
  <si>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</si>
  <si>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</si>
  <si>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</si>
  <si>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</si>
  <si>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</si>
  <si>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</si>
  <si>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</si>
  <si>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</si>
  <si>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</si>
  <si>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</si>
  <si>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</si>
  <si>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</si>
  <si>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</si>
  <si>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</si>
  <si>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</si>
  <si>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</si>
  <si>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</si>
  <si>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</si>
  <si>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</si>
  <si>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</si>
  <si>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</si>
  <si>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</si>
  <si>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</si>
  <si>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</si>
  <si>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</si>
  <si>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</si>
  <si>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</si>
  <si>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</si>
  <si>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</si>
  <si>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</si>
  <si>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</si>
  <si>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</si>
  <si>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</si>
  <si>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</si>
  <si>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</si>
  <si>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</si>
  <si>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</si>
  <si>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</si>
  <si>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</si>
  <si>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</si>
  <si>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</si>
  <si>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</si>
  <si>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</si>
  <si>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</si>
  <si>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</si>
  <si>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</si>
  <si>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</si>
  <si>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</si>
  <si>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</si>
  <si>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</si>
  <si>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</si>
  <si>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</si>
  <si>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</si>
  <si>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</si>
  <si>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</si>
  <si>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</si>
  <si>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</si>
  <si>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</si>
  <si>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</si>
  <si>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</si>
  <si>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</si>
  <si>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</si>
  <si>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</si>
  <si>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</si>
  <si>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</si>
  <si>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</si>
  <si>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Aarav</t>
  </si>
  <si>
    <t>Vivaan</t>
  </si>
  <si>
    <t>Aditya</t>
  </si>
  <si>
    <t>Arjun</t>
  </si>
  <si>
    <t>Reyansh</t>
  </si>
  <si>
    <t>Muhammad</t>
  </si>
  <si>
    <t>Krishna</t>
  </si>
  <si>
    <t>Ishaan</t>
  </si>
  <si>
    <t>Shaurya</t>
  </si>
  <si>
    <t>Atharv</t>
  </si>
  <si>
    <t>Kabir</t>
  </si>
  <si>
    <t>Rohan</t>
  </si>
  <si>
    <t>Ayaan</t>
  </si>
  <si>
    <t>Vihaan</t>
  </si>
  <si>
    <t>Dhruv</t>
  </si>
  <si>
    <t>Kunal</t>
  </si>
  <si>
    <t>Yash</t>
  </si>
  <si>
    <t>Siddharth</t>
  </si>
  <si>
    <t>Harsh</t>
  </si>
  <si>
    <t>Dev</t>
  </si>
  <si>
    <t>Ankit</t>
  </si>
  <si>
    <t>Nikhil</t>
  </si>
  <si>
    <t>Rajat</t>
  </si>
  <si>
    <t>Rakesh</t>
  </si>
  <si>
    <t>Rahul</t>
  </si>
  <si>
    <t>Amit</t>
  </si>
  <si>
    <t>Vikas</t>
  </si>
  <si>
    <t>Manish</t>
  </si>
  <si>
    <t>Deepak</t>
  </si>
  <si>
    <t>Sandeep</t>
  </si>
  <si>
    <t>Pankaj</t>
  </si>
  <si>
    <t>Gaurav</t>
  </si>
  <si>
    <t>Abhishek</t>
  </si>
  <si>
    <t>Varun</t>
  </si>
  <si>
    <t>Tarun</t>
  </si>
  <si>
    <t>Neeraj</t>
  </si>
  <si>
    <t>Ajay</t>
  </si>
  <si>
    <t>Vijay</t>
  </si>
  <si>
    <t>Sunil</t>
  </si>
  <si>
    <t>Anil</t>
  </si>
  <si>
    <t>Mukesh</t>
  </si>
  <si>
    <t>Rajesh</t>
  </si>
  <si>
    <t>Mahesh</t>
  </si>
  <si>
    <t>Prakash</t>
  </si>
  <si>
    <t>Shivam</t>
  </si>
  <si>
    <t>Om</t>
  </si>
  <si>
    <t>Akash</t>
  </si>
  <si>
    <t>Kartik</t>
  </si>
  <si>
    <t>Aryan</t>
  </si>
  <si>
    <t>Sagar</t>
  </si>
  <si>
    <t>Naveen</t>
  </si>
  <si>
    <t>Sachin</t>
  </si>
  <si>
    <t>Ravi</t>
  </si>
  <si>
    <t>Suraj</t>
  </si>
  <si>
    <t>Karan</t>
  </si>
  <si>
    <t>Sameer</t>
  </si>
  <si>
    <t>Imran</t>
  </si>
  <si>
    <t>Faizan</t>
  </si>
  <si>
    <t>Arman</t>
  </si>
  <si>
    <t>Salman</t>
  </si>
  <si>
    <t>Zaid</t>
  </si>
  <si>
    <t>Irfan</t>
  </si>
  <si>
    <t>Junaid</t>
  </si>
  <si>
    <t>Asif</t>
  </si>
  <si>
    <t>Wasim</t>
  </si>
  <si>
    <t>Farhan</t>
  </si>
  <si>
    <t>Bilal</t>
  </si>
  <si>
    <t>Aamir</t>
  </si>
  <si>
    <t>Shahid</t>
  </si>
  <si>
    <t>Nadeem</t>
  </si>
  <si>
    <t>Parth</t>
  </si>
  <si>
    <t>Meet</t>
  </si>
  <si>
    <t>Darshan</t>
  </si>
  <si>
    <t>Jignesh</t>
  </si>
  <si>
    <t>Hardik</t>
  </si>
  <si>
    <t>Hitesh</t>
  </si>
  <si>
    <t>Paresh</t>
  </si>
  <si>
    <t>Bhavesh</t>
  </si>
  <si>
    <t>Tushar</t>
  </si>
  <si>
    <t>Chirag</t>
  </si>
  <si>
    <t>Nirav</t>
  </si>
  <si>
    <t>Tejas</t>
  </si>
  <si>
    <t>Vishal</t>
  </si>
  <si>
    <t>Hemant</t>
  </si>
  <si>
    <t>Lokesh</t>
  </si>
  <si>
    <t>Dinesh</t>
  </si>
  <si>
    <t>Umesh</t>
  </si>
  <si>
    <t>Naresh</t>
  </si>
  <si>
    <t>Rajiv</t>
  </si>
  <si>
    <t>Suresh</t>
  </si>
  <si>
    <t>Girish</t>
  </si>
  <si>
    <t>Kishore</t>
  </si>
  <si>
    <t>Bharat</t>
  </si>
  <si>
    <t>Mohan</t>
  </si>
  <si>
    <t>Shyam</t>
  </si>
  <si>
    <t>Ramesh</t>
  </si>
  <si>
    <t>Govind</t>
  </si>
  <si>
    <t>Balram</t>
  </si>
  <si>
    <t>Keshav</t>
  </si>
  <si>
    <t>Lalit</t>
  </si>
  <si>
    <t>Manoj</t>
  </si>
  <si>
    <t>Ashok</t>
  </si>
  <si>
    <t>Inder</t>
  </si>
  <si>
    <t>Prem</t>
  </si>
  <si>
    <t>Kamal</t>
  </si>
  <si>
    <t>Jagdish</t>
  </si>
  <si>
    <t>Operations</t>
  </si>
  <si>
    <t>Warehouse</t>
  </si>
  <si>
    <t>Marketing</t>
  </si>
  <si>
    <t>Support</t>
  </si>
  <si>
    <t>Accounts</t>
  </si>
  <si>
    <t>IT</t>
  </si>
  <si>
    <t>Designation</t>
  </si>
  <si>
    <t>HR</t>
  </si>
  <si>
    <t>Manager</t>
  </si>
  <si>
    <t>Senior Executive</t>
  </si>
  <si>
    <t>Executive</t>
  </si>
  <si>
    <t>Associate / Operator</t>
  </si>
  <si>
    <t>Active</t>
  </si>
  <si>
    <t>On Leave</t>
  </si>
  <si>
    <t>Resigned</t>
  </si>
  <si>
    <t>ABCPD1234A</t>
  </si>
  <si>
    <t>QWERT5678Z</t>
  </si>
  <si>
    <t>ZXCVB2345K</t>
  </si>
  <si>
    <t>LMNOP6789Q</t>
  </si>
  <si>
    <t>ASDFG3456H</t>
  </si>
  <si>
    <t>GHJKL7890P</t>
  </si>
  <si>
    <t>POIUY4567M</t>
  </si>
  <si>
    <t>TREWA8901X</t>
  </si>
  <si>
    <t>LKJHG5678R</t>
  </si>
  <si>
    <t>MNBVC9012S</t>
  </si>
  <si>
    <t>YUIOP6789D</t>
  </si>
  <si>
    <t>HGFDS1234L</t>
  </si>
  <si>
    <t>BNMKL2345T</t>
  </si>
  <si>
    <t>PLMKO3456Y</t>
  </si>
  <si>
    <t>QAZWS4567N</t>
  </si>
  <si>
    <t>EDCRF5678J</t>
  </si>
  <si>
    <t>TGBYH6789U</t>
  </si>
  <si>
    <t>NHYGT7890W</t>
  </si>
  <si>
    <t>UJMIK8901E</t>
  </si>
  <si>
    <t>IKOLP9012V</t>
  </si>
  <si>
    <t>QWASZ1122A</t>
  </si>
  <si>
    <t>XEDCR2233B</t>
  </si>
  <si>
    <t>VFRBG3344C</t>
  </si>
  <si>
    <t>TGBNH4455D</t>
  </si>
  <si>
    <t>YHNUJ5566E</t>
  </si>
  <si>
    <t>UJMIK6677F</t>
  </si>
  <si>
    <t>IKOLP7788G</t>
  </si>
  <si>
    <t>PLMKO8899H</t>
  </si>
  <si>
    <t>MNBVC9900J</t>
  </si>
  <si>
    <t>LKJHG1010K</t>
  </si>
  <si>
    <t>HGFDS2121L</t>
  </si>
  <si>
    <t>GFDSA3232M</t>
  </si>
  <si>
    <t>FDSAQ4343N</t>
  </si>
  <si>
    <t>DSAQW5454P</t>
  </si>
  <si>
    <t>SAQWE6565Q</t>
  </si>
  <si>
    <t>AQWER7676R</t>
  </si>
  <si>
    <t>QWERT8787S</t>
  </si>
  <si>
    <t>WERTY9898T</t>
  </si>
  <si>
    <t>ERTYU0909U</t>
  </si>
  <si>
    <t>RTYUI1111V</t>
  </si>
  <si>
    <t>TYUIO2222W</t>
  </si>
  <si>
    <t>YUIOP3333X</t>
  </si>
  <si>
    <t>UIOPL4444Y</t>
  </si>
  <si>
    <t>IOPLK5555Z</t>
  </si>
  <si>
    <t>OPLKM6666A</t>
  </si>
  <si>
    <t>PLKJH7777B</t>
  </si>
  <si>
    <t>LKJHG8888C</t>
  </si>
  <si>
    <t>KJHGF9999D</t>
  </si>
  <si>
    <t>JHGFD0000E</t>
  </si>
  <si>
    <t>HGFDS1212F</t>
  </si>
  <si>
    <t>GFDSA2323G</t>
  </si>
  <si>
    <t>FDSAQ3434H</t>
  </si>
  <si>
    <t>DSAQW4545J</t>
  </si>
  <si>
    <t>SAQWE5656K</t>
  </si>
  <si>
    <t>AQWER6767L</t>
  </si>
  <si>
    <t>QWERT7878M</t>
  </si>
  <si>
    <t>WERTY8989N</t>
  </si>
  <si>
    <t>ERTYU9090P</t>
  </si>
  <si>
    <t>RTYUI0101Q</t>
  </si>
  <si>
    <t>TYUIO1212R</t>
  </si>
  <si>
    <t>YUIOP2323S</t>
  </si>
  <si>
    <t>UIOPL3434T</t>
  </si>
  <si>
    <t>IOPLK4545U</t>
  </si>
  <si>
    <t>OPLKM5656V</t>
  </si>
  <si>
    <t>PLKJH6767W</t>
  </si>
  <si>
    <t>LKJHG7878X</t>
  </si>
  <si>
    <t>KJHGF8989Y</t>
  </si>
  <si>
    <t>JHGFD9090Z</t>
  </si>
  <si>
    <t>HGFDS1010A</t>
  </si>
  <si>
    <t>GFDSA2020B</t>
  </si>
  <si>
    <t>FDSAQ3030C</t>
  </si>
  <si>
    <t>DSAQW4040D</t>
  </si>
  <si>
    <t>SAQWE5050E</t>
  </si>
  <si>
    <t>AQWER6060F</t>
  </si>
  <si>
    <t>QWERT7070G</t>
  </si>
  <si>
    <t>WERTY8080H</t>
  </si>
  <si>
    <t>ERTYU9090J</t>
  </si>
  <si>
    <t>RTYUI1112K</t>
  </si>
  <si>
    <t>TYUIO2223L</t>
  </si>
  <si>
    <t>YUIOP3334M</t>
  </si>
  <si>
    <t>UIOPL4445N</t>
  </si>
  <si>
    <t>IOPLK5556P</t>
  </si>
  <si>
    <t>OPLKM6667Q</t>
  </si>
  <si>
    <t>PLKJH7778R</t>
  </si>
  <si>
    <t>LKJHG8889S</t>
  </si>
  <si>
    <t>KJHGF9990T</t>
  </si>
  <si>
    <t>JHGFD0001U</t>
  </si>
  <si>
    <t>HGFDS1113V</t>
  </si>
  <si>
    <t>GFDSA2224W</t>
  </si>
  <si>
    <t>FDSAQ3335X</t>
  </si>
  <si>
    <t>DSAQW4446Y</t>
  </si>
  <si>
    <t>SAQWE5557Z</t>
  </si>
  <si>
    <t>AQWER6668A</t>
  </si>
  <si>
    <t>QWERT7779B</t>
  </si>
  <si>
    <t>WERTY8880C</t>
  </si>
  <si>
    <t>ERTYU9991D</t>
  </si>
  <si>
    <t>RTYUI0002E</t>
  </si>
  <si>
    <t>TYUIO1113F</t>
  </si>
  <si>
    <t>YUIOP2224G</t>
  </si>
  <si>
    <t>UIOPL3335H</t>
  </si>
  <si>
    <t>IOPLK4446J</t>
  </si>
  <si>
    <t>OPLKM5557K</t>
  </si>
  <si>
    <t>PLKJH6668L</t>
  </si>
  <si>
    <t>LKJHG7779M</t>
  </si>
  <si>
    <t>HDFC0001234</t>
  </si>
  <si>
    <t>HDFC0002345</t>
  </si>
  <si>
    <t>HDFC0003456</t>
  </si>
  <si>
    <t>HDFC0004567</t>
  </si>
  <si>
    <t>HDFC0005678</t>
  </si>
  <si>
    <t>HDFC0006789</t>
  </si>
  <si>
    <t>HDFC0007890</t>
  </si>
  <si>
    <t>HDFC0008901</t>
  </si>
  <si>
    <t>HDFC0009012</t>
  </si>
  <si>
    <t>HDFC0001122</t>
  </si>
  <si>
    <t>HDFC0002233</t>
  </si>
  <si>
    <t>HDFC0003344</t>
  </si>
  <si>
    <t>HDFC0004455</t>
  </si>
  <si>
    <t>HDFC0005566</t>
  </si>
  <si>
    <t>HDFC0006677</t>
  </si>
  <si>
    <t>HDFC0007788</t>
  </si>
  <si>
    <t>HDFC0008899</t>
  </si>
  <si>
    <t>HDFC0009900</t>
  </si>
  <si>
    <t>HDFC0001010</t>
  </si>
  <si>
    <t>HDFC0002020</t>
  </si>
  <si>
    <t>HDFC0003030</t>
  </si>
  <si>
    <t>HDFC0004040</t>
  </si>
  <si>
    <t>HDFC0005050</t>
  </si>
  <si>
    <t>HDFC0006060</t>
  </si>
  <si>
    <t>HDFC0007070</t>
  </si>
  <si>
    <t>SBIN0003456</t>
  </si>
  <si>
    <t>SBIN0004567</t>
  </si>
  <si>
    <t>SBIN0005678</t>
  </si>
  <si>
    <t>SBIN0006789</t>
  </si>
  <si>
    <t>SBIN0007890</t>
  </si>
  <si>
    <t>SBIN0008901</t>
  </si>
  <si>
    <t>SBIN0009012</t>
  </si>
  <si>
    <t>SBIN0001122</t>
  </si>
  <si>
    <t>SBIN0002233</t>
  </si>
  <si>
    <t>SBIN0003344</t>
  </si>
  <si>
    <t>SBIN0004455</t>
  </si>
  <si>
    <t>SBIN0005566</t>
  </si>
  <si>
    <t>SBIN0006677</t>
  </si>
  <si>
    <t>SBIN0007788</t>
  </si>
  <si>
    <t>SBIN0008899</t>
  </si>
  <si>
    <t>SBIN0009900</t>
  </si>
  <si>
    <t>SBIN0001010</t>
  </si>
  <si>
    <t>SBIN0002020</t>
  </si>
  <si>
    <t>SBIN0003030</t>
  </si>
  <si>
    <t>SBIN0004040</t>
  </si>
  <si>
    <t>SBIN0005050</t>
  </si>
  <si>
    <t>SBIN0006060</t>
  </si>
  <si>
    <t>SBIN0007070</t>
  </si>
  <si>
    <t>ICIC0003456</t>
  </si>
  <si>
    <t>ICIC0004567</t>
  </si>
  <si>
    <t>ICIC0005678</t>
  </si>
  <si>
    <t>ICIC0006789</t>
  </si>
  <si>
    <t>ICIC0007890</t>
  </si>
  <si>
    <t>ICIC0008901</t>
  </si>
  <si>
    <t>ICIC0009012</t>
  </si>
  <si>
    <t>ICIC0001122</t>
  </si>
  <si>
    <t>ICIC0002233</t>
  </si>
  <si>
    <t>ICIC0003344</t>
  </si>
  <si>
    <t>ICIC0004455</t>
  </si>
  <si>
    <t>ICIC0005566</t>
  </si>
  <si>
    <t>ICIC0006677</t>
  </si>
  <si>
    <t>ICIC0007788</t>
  </si>
  <si>
    <t>ICIC0008899</t>
  </si>
  <si>
    <t>ICIC0009900</t>
  </si>
  <si>
    <t>ICIC0001010</t>
  </si>
  <si>
    <t>ICIC0002020</t>
  </si>
  <si>
    <t>ICIC0003030</t>
  </si>
  <si>
    <t>ICIC0004040</t>
  </si>
  <si>
    <t>ICIC0005050</t>
  </si>
  <si>
    <t>ICIC0006060</t>
  </si>
  <si>
    <t>ICIC0007070</t>
  </si>
  <si>
    <t>PUNB0001234</t>
  </si>
  <si>
    <t>PUNB0002345</t>
  </si>
  <si>
    <t>PUNB0003456</t>
  </si>
  <si>
    <t>PUNB0004567</t>
  </si>
  <si>
    <t>PUNB0005678</t>
  </si>
  <si>
    <t>PUNB0006789</t>
  </si>
  <si>
    <t>PUNB0007890</t>
  </si>
  <si>
    <t>PUNB0008901</t>
  </si>
  <si>
    <t>PUNB0009012</t>
  </si>
  <si>
    <t>PUNB0001122</t>
  </si>
  <si>
    <t>PUNB0002233</t>
  </si>
  <si>
    <t>PUNB0003344</t>
  </si>
  <si>
    <t>PUNB0004455</t>
  </si>
  <si>
    <t>PUNB0005566</t>
  </si>
  <si>
    <t>PUNB0006677</t>
  </si>
  <si>
    <t>PUNB0007788</t>
  </si>
  <si>
    <t>PUNB0008899</t>
  </si>
  <si>
    <t>PUNB0009900</t>
  </si>
  <si>
    <t>PUNB0001010</t>
  </si>
  <si>
    <t>PUNB0002020</t>
  </si>
  <si>
    <t>PUNB0003030</t>
  </si>
  <si>
    <t>PUNB0004040</t>
  </si>
  <si>
    <t>PUNB0005050</t>
  </si>
  <si>
    <t>PUNB0006060</t>
  </si>
  <si>
    <t>PUNB0007070</t>
  </si>
  <si>
    <t>HDFC0006805</t>
  </si>
  <si>
    <t>HDFC0003582</t>
  </si>
  <si>
    <t>HDFC0004693</t>
  </si>
  <si>
    <t>HDFC0005704</t>
  </si>
  <si>
    <t>HDFC0004093</t>
  </si>
  <si>
    <t>HDFC0005004</t>
  </si>
  <si>
    <t>Part-Time</t>
  </si>
  <si>
    <t>Full-Time</t>
  </si>
  <si>
    <t>Contract</t>
  </si>
  <si>
    <t>Emp_Name</t>
  </si>
  <si>
    <t>Total Present</t>
  </si>
  <si>
    <t>Total Absent</t>
  </si>
  <si>
    <t>Casual Leave (CL)</t>
  </si>
  <si>
    <t>Sick Leave (SL)</t>
  </si>
  <si>
    <t>Earned Leave (EL)</t>
  </si>
  <si>
    <t>Late Marks</t>
  </si>
  <si>
    <t>Working Days</t>
  </si>
  <si>
    <t>Attendance %</t>
  </si>
  <si>
    <t>EMp002</t>
  </si>
  <si>
    <t>01-Jan-25</t>
  </si>
  <si>
    <t>02-Jan-25</t>
  </si>
  <si>
    <t>03-Jan-25</t>
  </si>
  <si>
    <t>04-Jan-25</t>
  </si>
  <si>
    <t>05-Jan-25</t>
  </si>
  <si>
    <t>06-Jan-25</t>
  </si>
  <si>
    <t>07-Jan-25</t>
  </si>
  <si>
    <t>08-Jan-25</t>
  </si>
  <si>
    <t>09-Jan-25</t>
  </si>
  <si>
    <t>14-Jan-25</t>
  </si>
  <si>
    <t>13-Jan-25</t>
  </si>
  <si>
    <t>12-Jan-25</t>
  </si>
  <si>
    <t>11-Jan-25</t>
  </si>
  <si>
    <t>10-Jan-25</t>
  </si>
  <si>
    <t>15-01-2025</t>
  </si>
  <si>
    <t>31-Jan-25</t>
  </si>
  <si>
    <t>30-Jan-25</t>
  </si>
  <si>
    <t>29-01-2025</t>
  </si>
  <si>
    <t>16-Jan-25</t>
  </si>
  <si>
    <t>17-Jan-25</t>
  </si>
  <si>
    <t>18-Jan-25</t>
  </si>
  <si>
    <t>19-Jan-25</t>
  </si>
  <si>
    <t>20-Jan-25</t>
  </si>
  <si>
    <t>21-Jan-25</t>
  </si>
  <si>
    <t>22-Jan-25</t>
  </si>
  <si>
    <t>23-Jan-25</t>
  </si>
  <si>
    <t>24-Jan-25</t>
  </si>
  <si>
    <t>25-Jan-25</t>
  </si>
  <si>
    <t>26-Jan-25</t>
  </si>
  <si>
    <t>27-Jan-25</t>
  </si>
  <si>
    <t>28-Jan-25</t>
  </si>
  <si>
    <t>P</t>
  </si>
  <si>
    <t>H</t>
  </si>
  <si>
    <t>CL</t>
  </si>
  <si>
    <t>A</t>
  </si>
  <si>
    <t>SL</t>
  </si>
  <si>
    <t>L</t>
  </si>
  <si>
    <t>EL</t>
  </si>
  <si>
    <t>Avg Attendance %</t>
  </si>
  <si>
    <t>Total Absences</t>
  </si>
  <si>
    <t>HRA</t>
  </si>
  <si>
    <t>DA</t>
  </si>
  <si>
    <t>Gross_Salary</t>
  </si>
  <si>
    <t>PF</t>
  </si>
  <si>
    <t>ESI</t>
  </si>
  <si>
    <t>Prof_Tax</t>
  </si>
  <si>
    <t>LOP_Deduction</t>
  </si>
  <si>
    <t>Total_Deductions</t>
  </si>
  <si>
    <t>Net_Salary</t>
  </si>
  <si>
    <t>Salary_Status</t>
  </si>
  <si>
    <t xml:space="preserve">Full_Name </t>
  </si>
  <si>
    <t>Total Payroll Cost</t>
  </si>
  <si>
    <t>Avg Net Salary</t>
  </si>
  <si>
    <t>Highest Salary</t>
  </si>
  <si>
    <t>Lowest Salary</t>
  </si>
  <si>
    <t>Total PF Deducted</t>
  </si>
  <si>
    <t>Total ESI Deducted</t>
  </si>
  <si>
    <t>Total LOP Deducted</t>
  </si>
  <si>
    <t>Total Net Salary</t>
  </si>
  <si>
    <t>Headcount</t>
  </si>
  <si>
    <t>HR &amp; Payroll MIS Dashboard | January 2025</t>
  </si>
  <si>
    <t>S.S. Enterprises | 106 Employees | Reporting Period: Jan 2025</t>
  </si>
  <si>
    <t>Count</t>
  </si>
  <si>
    <t>Hight</t>
  </si>
  <si>
    <t>Mid</t>
  </si>
  <si>
    <t>Low</t>
  </si>
  <si>
    <t>Review</t>
  </si>
  <si>
    <t>Type</t>
  </si>
  <si>
    <t>Data Source: EMP_MASTER | ATTENDANCE | PAYROLL
Last Updated: January 2025</t>
  </si>
  <si>
    <t>Select Employee ID:</t>
  </si>
  <si>
    <t>GS ENTERPRISES</t>
  </si>
  <si>
    <t>New Delhi — 110008</t>
  </si>
  <si>
    <t>SALARY SLIP — JANUARY 2025</t>
  </si>
  <si>
    <t>Employee ID</t>
  </si>
  <si>
    <t>Employee Name</t>
  </si>
  <si>
    <t>Date of Joining</t>
  </si>
  <si>
    <t>Employment Type</t>
  </si>
  <si>
    <t>Bank Account</t>
  </si>
  <si>
    <t>Month</t>
  </si>
  <si>
    <t>Days Present</t>
  </si>
  <si>
    <t>Days Absent</t>
  </si>
  <si>
    <t>Casual Leave</t>
  </si>
  <si>
    <t>Sick Leave</t>
  </si>
  <si>
    <t>Attendance%</t>
  </si>
  <si>
    <t>EARNINGS</t>
  </si>
  <si>
    <t>DEDUCTIONS</t>
  </si>
  <si>
    <t>Basic Salary</t>
  </si>
  <si>
    <t>Gross Salary</t>
  </si>
  <si>
    <t>Provident Fund (12%)</t>
  </si>
  <si>
    <t>ESI (0.75%)</t>
  </si>
  <si>
    <t>Professional Tax</t>
  </si>
  <si>
    <t>LOP Deduction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</si>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</sst>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7" formatCode="0.0"/>
  </numFmts>
  <fonts count="2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 Unicode MS"/>
    </font>
    <font>
      <i/>
      <sz val="11"/>
      <color theme="0"/>
      <name val="Calibri"/>
      <family val="2"/>
      <scheme val="minor"/>
    </font>
    <font>
      <sz val="24"/>
      <color theme="0"/>
      <name val="Segoe U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22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20"/>
      <color rgb="FF1F3864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5" fontId="0" fillId="2" borderId="0" xfId="0" applyNumberFormat="1" applyFill="1"/>
    <xf numFmtId="16" fontId="0" fillId="2" borderId="0" xfId="0" applyNumberFormat="1" applyFill="1"/>
    <xf numFmtId="15" fontId="2" fillId="2" borderId="0" xfId="0" applyNumberFormat="1" applyFont="1" applyFill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2" fontId="0" fillId="0" borderId="0" xfId="0" applyNumberFormat="1"/>
    <xf numFmtId="0" fontId="0" fillId="4" borderId="0" xfId="0" applyFill="1"/>
    <xf numFmtId="0" fontId="3" fillId="2" borderId="1" xfId="0" applyFont="1" applyFill="1" applyBorder="1"/>
    <xf numFmtId="0" fontId="3" fillId="2" borderId="0" xfId="0" applyFont="1" applyFill="1"/>
    <xf numFmtId="164" fontId="0" fillId="0" borderId="0" xfId="0" applyNumberFormat="1"/>
    <xf numFmtId="164" fontId="0" fillId="0" borderId="2" xfId="0" applyNumberFormat="1" applyBorder="1"/>
    <xf numFmtId="0" fontId="8" fillId="5" borderId="2" xfId="0" applyFont="1" applyFill="1" applyBorder="1"/>
    <xf numFmtId="0" fontId="4" fillId="5" borderId="2" xfId="0" applyFont="1" applyFill="1" applyBorder="1"/>
    <xf numFmtId="164" fontId="0" fillId="0" borderId="3" xfId="0" applyNumberFormat="1" applyBorder="1"/>
    <xf numFmtId="0" fontId="5" fillId="0" borderId="2" xfId="0" applyFont="1" applyBorder="1" applyAlignment="1">
      <alignment vertical="center" wrapText="1"/>
    </xf>
    <xf numFmtId="1" fontId="5" fillId="0" borderId="2" xfId="0" applyNumberFormat="1" applyFont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9" fillId="6" borderId="0" xfId="0" applyFont="1" applyFill="1" applyAlignment="1">
      <alignment horizontal="center"/>
    </xf>
    <xf numFmtId="0" fontId="0" fillId="6" borderId="0" xfId="0" applyFill="1" applyAlignment="1">
      <alignment horizontal="center" textRotation="180"/>
    </xf>
    <xf numFmtId="0" fontId="10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9" fillId="6" borderId="0" xfId="0" applyFont="1" applyFill="1" applyAlignment="1">
      <alignment horizontal="center"/>
    </xf>
    <xf numFmtId="0" fontId="5" fillId="0" borderId="2" xfId="0" applyFont="1" applyFill="1" applyBorder="1" applyAlignment="1">
      <alignment vertical="center" wrapText="1"/>
    </xf>
    <xf numFmtId="1" fontId="5" fillId="0" borderId="2" xfId="0" applyNumberFormat="1" applyFont="1" applyFill="1" applyBorder="1" applyAlignment="1">
      <alignment vertical="center" wrapText="1"/>
    </xf>
    <xf numFmtId="0" fontId="14" fillId="6" borderId="0" xfId="0" applyFont="1" applyFill="1" applyAlignment="1">
      <alignment horizontal="center" wrapText="1"/>
    </xf>
    <xf numFmtId="0" fontId="16" fillId="7" borderId="9" xfId="0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5" fillId="7" borderId="9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167" fontId="18" fillId="7" borderId="4" xfId="0" applyNumberFormat="1" applyFont="1" applyFill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67" fontId="18" fillId="7" borderId="6" xfId="0" applyNumberFormat="1" applyFont="1" applyFill="1" applyBorder="1" applyAlignment="1">
      <alignment horizontal="center" vertical="center"/>
    </xf>
    <xf numFmtId="167" fontId="18" fillId="7" borderId="7" xfId="0" applyNumberFormat="1" applyFont="1" applyFill="1" applyBorder="1" applyAlignment="1">
      <alignment horizontal="center" vertical="center"/>
    </xf>
    <xf numFmtId="167" fontId="18" fillId="7" borderId="0" xfId="0" applyNumberFormat="1" applyFont="1" applyFill="1" applyBorder="1" applyAlignment="1">
      <alignment horizontal="center" vertical="center"/>
    </xf>
    <xf numFmtId="167" fontId="18" fillId="7" borderId="8" xfId="0" applyNumberFormat="1" applyFont="1" applyFill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7" borderId="6" xfId="0" applyNumberFormat="1" applyFont="1" applyFill="1" applyBorder="1" applyAlignment="1">
      <alignment horizontal="center" vertical="center"/>
    </xf>
    <xf numFmtId="1" fontId="18" fillId="7" borderId="7" xfId="0" applyNumberFormat="1" applyFont="1" applyFill="1" applyBorder="1" applyAlignment="1">
      <alignment horizontal="center" vertical="center"/>
    </xf>
    <xf numFmtId="1" fontId="18" fillId="7" borderId="0" xfId="0" applyNumberFormat="1" applyFont="1" applyFill="1" applyBorder="1" applyAlignment="1">
      <alignment horizontal="center" vertical="center"/>
    </xf>
    <xf numFmtId="1" fontId="18" fillId="7" borderId="8" xfId="0" applyNumberFormat="1" applyFont="1" applyFill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3" fillId="6" borderId="0" xfId="0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17" fontId="0" fillId="0" borderId="0" xfId="0" applyNumberFormat="1"/>
    <xf numFmtId="9" fontId="0" fillId="0" borderId="0" xfId="1" applyFont="1"/>
    <xf numFmtId="167" fontId="0" fillId="0" borderId="0" xfId="1" applyNumberFormat="1" applyFont="1"/>
    <xf numFmtId="0" fontId="13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41"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numFmt numFmtId="167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fill>
        <patternFill patternType="solid">
          <fgColor indexed="64"/>
          <bgColor rgb="FF0070C0"/>
        </patternFill>
      </fill>
    </dxf>
    <dxf>
      <numFmt numFmtId="19" formatCode="dd/mm/yyyy"/>
    </dxf>
    <dxf>
      <numFmt numFmtId="0" formatCode="General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colors>
    <mruColors>
      <color rgb="FF1F3864"/>
      <color rgb="FF70AD47"/>
      <color rgb="FF2E7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Payroll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PAYROLL!$B$117</c:f>
              <c:strCache>
                <c:ptCount val="1"/>
                <c:pt idx="0">
                  <c:v>Total Net Salary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PAYROLL!$A$118:$A$123</c:f>
              <c:strCache>
                <c:ptCount val="6"/>
                <c:pt idx="0">
                  <c:v>Operations</c:v>
                </c:pt>
                <c:pt idx="1">
                  <c:v>Warehouse</c:v>
                </c:pt>
                <c:pt idx="2">
                  <c:v>Marketing</c:v>
                </c:pt>
                <c:pt idx="3">
                  <c:v>Support</c:v>
                </c:pt>
                <c:pt idx="4">
                  <c:v>Accounts</c:v>
                </c:pt>
                <c:pt idx="5">
                  <c:v>IT</c:v>
                </c:pt>
              </c:strCache>
            </c:strRef>
          </c:cat>
          <c:val>
            <c:numRef>
              <c:f>PAYROLL!$B$118:$B$123</c:f>
              <c:numCache>
                <c:formatCode>General</c:formatCode>
                <c:ptCount val="6"/>
                <c:pt idx="0">
                  <c:v>806749</c:v>
                </c:pt>
                <c:pt idx="1">
                  <c:v>546004</c:v>
                </c:pt>
                <c:pt idx="2">
                  <c:v>481241</c:v>
                </c:pt>
                <c:pt idx="3">
                  <c:v>452887</c:v>
                </c:pt>
                <c:pt idx="4">
                  <c:v>203124</c:v>
                </c:pt>
                <c:pt idx="5">
                  <c:v>306688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2-4813-8350-D6FE92599B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2772176"/>
        <c:axId val="1742773616"/>
      </c:barChart>
      <c:catAx>
        <c:axId val="174277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773616"/>
        <c:crosses val="autoZero"/>
        <c:auto val="1"/>
        <c:lblAlgn val="ctr"/>
        <c:lblOffset val="100"/>
        <c:noMultiLvlLbl val="0"/>
      </c:catAx>
      <c:valAx>
        <c:axId val="174277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77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Attendance %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Attendance!$B$110</c:f>
              <c:strCache>
                <c:ptCount val="1"/>
                <c:pt idx="0">
                  <c:v>Avg Attendance %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Attendance!$A$111:$A$117</c:f>
              <c:strCache>
                <c:ptCount val="7"/>
                <c:pt idx="0">
                  <c:v>Operations</c:v>
                </c:pt>
                <c:pt idx="1">
                  <c:v>Warehouse</c:v>
                </c:pt>
                <c:pt idx="2">
                  <c:v>Marketing</c:v>
                </c:pt>
                <c:pt idx="3">
                  <c:v>Support</c:v>
                </c:pt>
                <c:pt idx="4">
                  <c:v>Accounts</c:v>
                </c:pt>
                <c:pt idx="5">
                  <c:v>HR</c:v>
                </c:pt>
                <c:pt idx="6">
                  <c:v>IT</c:v>
                </c:pt>
              </c:strCache>
            </c:strRef>
          </c:cat>
          <c:val>
            <c:numRef>
              <c:f>Attendance!$B$111:$B$117</c:f>
              <c:numCache>
                <c:formatCode>0.00</c:formatCode>
                <c:ptCount val="7"/>
                <c:pt idx="0">
                  <c:v>97.086247086247099</c:v>
                </c:pt>
                <c:pt idx="1">
                  <c:v>96.336996336996364</c:v>
                </c:pt>
                <c:pt idx="2">
                  <c:v>94.711538461538481</c:v>
                </c:pt>
                <c:pt idx="3">
                  <c:v>95.192307692307708</c:v>
                </c:pt>
                <c:pt idx="4">
                  <c:v>96.153846153846146</c:v>
                </c:pt>
                <c:pt idx="5">
                  <c:v>97.435897435897445</c:v>
                </c:pt>
                <c:pt idx="6">
                  <c:v>98.07692307692308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B-4BF7-9F66-0C85A1F51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2790416"/>
        <c:axId val="1742785136"/>
      </c:barChart>
      <c:catAx>
        <c:axId val="174279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785136"/>
        <c:crosses val="autoZero"/>
        <c:auto val="1"/>
        <c:lblAlgn val="ctr"/>
        <c:lblOffset val="100"/>
        <c:noMultiLvlLbl val="0"/>
      </c:catAx>
      <c:valAx>
        <c:axId val="174278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79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Salary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46145184400155"/>
          <c:y val="0.19226648338176983"/>
          <c:w val="0.41848097112860894"/>
          <c:h val="0.69746828521434823"/>
        </c:manualLayout>
      </c:layout>
      <c:doughnutChart>
        <c:varyColors val="1"/>
        <c:ser>
          <c:idx val="0"/>
          <c:order val="0"/>
          <c:tx>
            <c:strRef>
              <c:f>DASHBOARD!$AP$42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DASHBOARD!$AO$43:$AO$46</c:f>
              <c:strCache>
                <c:ptCount val="4"/>
                <c:pt idx="0">
                  <c:v>Hight</c:v>
                </c:pt>
                <c:pt idx="1">
                  <c:v>Mid</c:v>
                </c:pt>
                <c:pt idx="2">
                  <c:v>Low</c:v>
                </c:pt>
                <c:pt idx="3">
                  <c:v>Review</c:v>
                </c:pt>
              </c:strCache>
            </c:strRef>
          </c:cat>
          <c:val>
            <c:numRef>
              <c:f>DASHBOARD!$AP$43:$AP$46</c:f>
              <c:numCache>
                <c:formatCode>General</c:formatCode>
                <c:ptCount val="4"/>
                <c:pt idx="0">
                  <c:v>35</c:v>
                </c:pt>
                <c:pt idx="1">
                  <c:v>15</c:v>
                </c:pt>
                <c:pt idx="2">
                  <c:v>56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2-4502-8C2C-865D94743C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313468061593383"/>
          <c:y val="0.89679681855775928"/>
          <c:w val="0.61131082904245793"/>
          <c:h val="0.100516196449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Employment Type Split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DASHBOARD!$AP$48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DASHBOARD!$AO$49:$AO$51</c:f>
              <c:strCache>
                <c:ptCount val="3"/>
                <c:pt idx="0">
                  <c:v>Full-Time</c:v>
                </c:pt>
                <c:pt idx="1">
                  <c:v>Contract</c:v>
                </c:pt>
                <c:pt idx="2">
                  <c:v>Part-Time</c:v>
                </c:pt>
              </c:strCache>
            </c:strRef>
          </c:cat>
          <c:val>
            <c:numRef>
              <c:f>DASHBOARD!$AP$49:$AP$51</c:f>
              <c:numCache>
                <c:formatCode>General</c:formatCode>
                <c:ptCount val="3"/>
                <c:pt idx="0">
                  <c:v>85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7-45A5-BA54-468E407B3D6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58066</xdr:colOff>
      <xdr:row>10</xdr:row>
      <xdr:rowOff>54586</xdr:rowOff>
    </xdr:from>
    <xdr:to>
      <xdr:col>16</xdr:col>
      <xdr:colOff>175846</xdr:colOff>
      <xdr:row>22</xdr:row>
      <xdr:rowOff>153865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8086DA8-B5D5-D7A3-C62B-EE0B3B6EF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36635</xdr:colOff>
      <xdr:row>10</xdr:row>
      <xdr:rowOff>43961</xdr:rowOff>
    </xdr:from>
    <xdr:to>
      <xdr:col>34</xdr:col>
      <xdr:colOff>73269</xdr:colOff>
      <xdr:row>23</xdr:row>
      <xdr:rowOff>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6744AAB-2E38-010D-E50B-1F7C43272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54952</xdr:colOff>
      <xdr:row>23</xdr:row>
      <xdr:rowOff>161193</xdr:rowOff>
    </xdr:from>
    <xdr:to>
      <xdr:col>16</xdr:col>
      <xdr:colOff>175846</xdr:colOff>
      <xdr:row>35</xdr:row>
      <xdr:rowOff>7327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2E255-C47E-2636-45E0-875ED8D2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32972</xdr:colOff>
      <xdr:row>24</xdr:row>
      <xdr:rowOff>5863</xdr:rowOff>
    </xdr:from>
    <xdr:to>
      <xdr:col>34</xdr:col>
      <xdr:colOff>109904</xdr:colOff>
      <xdr:row>35</xdr:row>
      <xdr:rowOff>14655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C10D25-0FF1-822E-4B01-D571ACF11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1663D-FF05-4411-AE33-1166F9515A32}" name="Table1" displayName="Table1" ref="A1:L107" totalsRowShown="0">
  <autoFilter ref="A1:L107" xr:uid="{D371663D-FF05-4411-AE33-1166F9515A32}"/>
  <tableColumns count="12">
    <tableColumn id="1" xr3:uid="{F37C10BC-B36E-4144-BFAA-3B9338A6778E}" name="Emp_ID"/>
    <tableColumn id="2" xr3:uid="{F4870B6F-D958-40D8-9263-CC70A29AEF97}" name="Full_Name "/>
    <tableColumn id="3" xr3:uid="{1CC3C085-336E-4657-9021-6A34671D8DB4}" name="Department"/>
    <tableColumn id="12" xr3:uid="{CB7D080C-F627-4227-BBA4-B61A31C70F5C}" name="Designation"/>
    <tableColumn id="4" xr3:uid="{915AEA27-C82D-4786-B61B-DFB8EDF91D36}" name="Date_of_Joining" dataDxfId="23"/>
    <tableColumn id="5" xr3:uid="{46FC8582-4734-449C-B227-AFB54EEA2B79}" name="Employment_Type"/>
    <tableColumn id="6" xr3:uid="{FDEFB66B-2A93-4C32-A466-66B2ECAFC053}" name="Basic_Salary"/>
    <tableColumn id="7" xr3:uid="{89E675E1-A200-4F16-969D-5781C8D9AB6E}" name="HRA_%"/>
    <tableColumn id="8" xr3:uid="{122BF63A-BC81-42A0-B60D-06175E70C17C}" name="DA_%"/>
    <tableColumn id="9" xr3:uid="{586C188B-440E-4BC4-9422-72A98CC94025}" name="Bank_Account"/>
    <tableColumn id="10" xr3:uid="{5847D63C-92E3-4A9B-8682-C5308071FA48}" name="PAN"/>
    <tableColumn id="11" xr3:uid="{C7ECB243-970E-4220-A940-F364D0CD71A5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76FA0E-79F1-4AB8-AD6F-12966EAD36A7}" name="Table2" displayName="Table2" ref="A1:AP107" totalsRowShown="0" headerRowDxfId="22">
  <autoFilter ref="A1:AP107" xr:uid="{0976FA0E-79F1-4AB8-AD6F-12966EAD36A7}"/>
  <tableColumns count="42">
    <tableColumn id="1" xr3:uid="{76E921B5-6C1B-4FF8-874D-50D93CB23F5D}" name="Emp_ID"/>
    <tableColumn id="2" xr3:uid="{1A67EB06-E308-4521-972B-EA9FA67928CB}" name="Emp_Name" dataDxfId="21">
      <calculatedColumnFormula>_xlfn.XLOOKUP(A2,Table1[Emp_ID],Table1[Full_Name ])</calculatedColumnFormula>
    </tableColumn>
    <tableColumn id="3" xr3:uid="{AF32FCF7-5063-4EAB-B304-D225233B1321}" name="Department" dataDxfId="20">
      <calculatedColumnFormula>_xlfn.XLOOKUP(A2,Table1[Emp_ID],Table1[Department])</calculatedColumnFormula>
    </tableColumn>
    <tableColumn id="4" xr3:uid="{190A8984-5DDD-4045-A3EB-0324A7426D6E}" name="01-Jan-25"/>
    <tableColumn id="5" xr3:uid="{60574AA0-81BB-4050-876B-F2DF44FD22EC}" name="02-Jan-25"/>
    <tableColumn id="6" xr3:uid="{93BD68D4-AA4C-4B12-97F0-0804135804F5}" name="03-Jan-25"/>
    <tableColumn id="7" xr3:uid="{E33D1E12-DB91-4E2E-9305-5C323E3CE786}" name="04-Jan-25"/>
    <tableColumn id="8" xr3:uid="{0FE16CC9-1C91-4CD6-B67A-6AE619497551}" name="05-Jan-25"/>
    <tableColumn id="9" xr3:uid="{EC4AFF45-B36E-426E-AF53-0CAF070FE222}" name="06-Jan-25"/>
    <tableColumn id="10" xr3:uid="{AF7C4F06-07E7-4CA4-827E-F3775E4FEB78}" name="07-Jan-25"/>
    <tableColumn id="11" xr3:uid="{9E68AD00-5067-4C99-9617-81641F2EBBA3}" name="08-Jan-25"/>
    <tableColumn id="12" xr3:uid="{81CA5035-3341-4F7D-9CCE-63DCE8F8716B}" name="09-Jan-25"/>
    <tableColumn id="13" xr3:uid="{BAC720E4-EA5E-4EE6-9A06-6B8E7D3620A6}" name="10-Jan-25"/>
    <tableColumn id="14" xr3:uid="{B90B20E8-34B7-471B-944B-4BEB1A0FCDF1}" name="11-Jan-25"/>
    <tableColumn id="15" xr3:uid="{982C7087-E9FE-4203-9FCE-AA36B1459A32}" name="12-Jan-25"/>
    <tableColumn id="16" xr3:uid="{8C5F3D0F-351A-4CF2-AABE-4E0A764EFA94}" name="13-Jan-25"/>
    <tableColumn id="17" xr3:uid="{33C365B0-1417-44B7-A840-05F0225D41A2}" name="14-Jan-25"/>
    <tableColumn id="18" xr3:uid="{C4844A38-D5C7-409D-82FC-E72A3333C7EB}" name="15-01-2025"/>
    <tableColumn id="19" xr3:uid="{65B93BAD-4165-4115-832A-3895B4AA662E}" name="16-Jan-25"/>
    <tableColumn id="20" xr3:uid="{5D8AD90A-7422-4945-B9CE-E2E0CA1AB822}" name="17-Jan-25"/>
    <tableColumn id="21" xr3:uid="{E57B6CFE-3DE2-462C-A0F2-C9F7722C7FF6}" name="18-Jan-25"/>
    <tableColumn id="22" xr3:uid="{7B9D20E1-599E-449A-A6B0-1ECECF0685DA}" name="19-Jan-25"/>
    <tableColumn id="23" xr3:uid="{4D80BA27-4B73-424C-83F7-AA5F24BEA75D}" name="20-Jan-25"/>
    <tableColumn id="24" xr3:uid="{5E21D380-E3E2-4FC9-ADC4-48C1DC97D0D8}" name="21-Jan-25"/>
    <tableColumn id="25" xr3:uid="{351B2477-F62F-434C-B930-C033CCFB1F2B}" name="22-Jan-25"/>
    <tableColumn id="26" xr3:uid="{C08D567A-5B17-4318-A8F7-526F10648F25}" name="23-Jan-25"/>
    <tableColumn id="27" xr3:uid="{A91E9AE9-BC27-49FB-9387-6B8D040EBD18}" name="24-Jan-25"/>
    <tableColumn id="28" xr3:uid="{F27B89A2-9CBE-468C-876B-419A533C4114}" name="25-Jan-25"/>
    <tableColumn id="29" xr3:uid="{02B5A1E6-8276-4612-87FE-1D0C9A55F027}" name="26-Jan-25"/>
    <tableColumn id="30" xr3:uid="{A09B28AC-E6EB-4D31-9B4F-7C879E578072}" name="27-Jan-25"/>
    <tableColumn id="31" xr3:uid="{402AF958-BADF-459E-8E51-B23723BB350B}" name="28-Jan-25"/>
    <tableColumn id="32" xr3:uid="{AA697D28-EAA4-47FA-9F2D-3B90318EE5E3}" name="29-01-2025"/>
    <tableColumn id="33" xr3:uid="{97A4D0BB-3E43-4074-AC3C-BDA097F5958D}" name="30-Jan-25"/>
    <tableColumn id="34" xr3:uid="{B4C3FCD7-5EDD-4AD5-A073-E48BBB76BC92}" name="31-Jan-25"/>
    <tableColumn id="35" xr3:uid="{555F738E-1D0D-407B-8283-35AD4A035A2D}" name="Total Present" dataDxfId="19">
      <calculatedColumnFormula>COUNTIF(D2:AH2,"P")</calculatedColumnFormula>
    </tableColumn>
    <tableColumn id="36" xr3:uid="{EAFF65C9-5514-459B-8E7A-D5891DE34F63}" name="Total Absent" dataDxfId="18">
      <calculatedColumnFormula>COUNTIF(D2:AH2,"A")</calculatedColumnFormula>
    </tableColumn>
    <tableColumn id="37" xr3:uid="{D1115394-85EF-4D41-BCA4-57352FBDEF1F}" name="Casual Leave (CL)" dataDxfId="17">
      <calculatedColumnFormula>COUNTIF(D2:AH2,"CL")</calculatedColumnFormula>
    </tableColumn>
    <tableColumn id="38" xr3:uid="{B60B1182-CD12-4930-8C13-2676E37A6855}" name="Sick Leave (SL)" dataDxfId="16">
      <calculatedColumnFormula>COUNTIF(D2:AH2,"SL")</calculatedColumnFormula>
    </tableColumn>
    <tableColumn id="39" xr3:uid="{DA66BF75-6C49-4F58-8A14-3421E50B0A57}" name="Earned Leave (EL)" dataDxfId="15">
      <calculatedColumnFormula>COUNTIF(D2:AH2,"EL")</calculatedColumnFormula>
    </tableColumn>
    <tableColumn id="40" xr3:uid="{3935D1A0-F663-49A5-AA48-312D04C2809E}" name="Late Marks" dataDxfId="14">
      <calculatedColumnFormula>COUNTIF(D2:AH2,"L")</calculatedColumnFormula>
    </tableColumn>
    <tableColumn id="41" xr3:uid="{0BC2644F-2251-4AF8-9190-235338C8A261}" name="Working Days" dataDxfId="13">
      <calculatedColumnFormula>COUNTIF(D2:AH2,"P")+COUNTIF(D2:AH2,"CL")+COUNTIF(D2:AH2,"SL")+COUNTIF(D2:AH2,"EL")</calculatedColumnFormula>
    </tableColumn>
    <tableColumn id="42" xr3:uid="{CFCDD43A-AA44-42BC-97CF-A965142D841B}" name="Attendance %" dataDxfId="12" dataCellStyle="Percent">
      <calculatedColumnFormula>AO2/26*100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88507D-0B28-4B0D-B3FF-79A79DCD8047}" name="Table3" displayName="Table3" ref="A1:O107" totalsRowShown="0" headerRowDxfId="40" tableBorderDxfId="39">
  <autoFilter ref="A1:O107" xr:uid="{C188507D-0B28-4B0D-B3FF-79A79DCD8047}"/>
  <tableColumns count="15">
    <tableColumn id="1" xr3:uid="{9D1C88D8-FA87-45A8-ACD3-A6558A35E22A}" name="Emp_ID" dataDxfId="38"/>
    <tableColumn id="2" xr3:uid="{29B76379-8D69-4065-97AA-72B94B3D35ED}" name="Emp_Name" dataDxfId="37">
      <calculatedColumnFormula>_xlfn.XLOOKUP(Table3[[#This Row],[Emp_ID]],Table1[Emp_ID],Table1[Full_Name ])</calculatedColumnFormula>
    </tableColumn>
    <tableColumn id="3" xr3:uid="{F5B965BE-A69A-42C4-874C-ED98E62117D3}" name="Department" dataDxfId="36">
      <calculatedColumnFormula>_xlfn.XLOOKUP(Table3[[#This Row],[Emp_ID]],Table1[Emp_ID],Table1[Department])</calculatedColumnFormula>
    </tableColumn>
    <tableColumn id="4" xr3:uid="{02699330-9C65-49AB-8DE3-4DD4DE2202A0}" name="Designation" dataDxfId="35">
      <calculatedColumnFormula>_xlfn.XLOOKUP(Table3[[#This Row],[Emp_ID]],Table1[Emp_ID],Table1[Designation])</calculatedColumnFormula>
    </tableColumn>
    <tableColumn id="5" xr3:uid="{E6E64054-569C-4D5B-B658-6D698362A1F9}" name="Basic_Salary" dataDxfId="34">
      <calculatedColumnFormula>_xlfn.XLOOKUP(Table3[[#This Row],[Emp_ID]],Table1[Emp_ID],Table1[Basic_Salary])</calculatedColumnFormula>
    </tableColumn>
    <tableColumn id="6" xr3:uid="{D924CE9A-3578-4E6E-8067-E6D2CA43F2E7}" name="HRA" dataDxfId="33">
      <calculatedColumnFormula>E2*_xlfn.XLOOKUP(Table3[[#This Row],[Emp_ID]],Table1[Emp_ID],Table1[HRA_%])</calculatedColumnFormula>
    </tableColumn>
    <tableColumn id="7" xr3:uid="{2BB2B555-F221-4996-90CB-CB46C7BA0014}" name="DA" dataDxfId="32">
      <calculatedColumnFormula>E2*_xlfn.XLOOKUP(Table3[[#This Row],[Emp_ID]],Table1[Emp_ID],Table1[DA_%])</calculatedColumnFormula>
    </tableColumn>
    <tableColumn id="8" xr3:uid="{5B9B2D9E-11EB-49F8-A290-BFDCCFDA9626}" name="Gross_Salary" dataDxfId="31">
      <calculatedColumnFormula>E2+F2+G2</calculatedColumnFormula>
    </tableColumn>
    <tableColumn id="9" xr3:uid="{321F5BD1-B335-442F-A7CB-A9A26DDC7B0B}" name="PF" dataDxfId="30">
      <calculatedColumnFormula>IF(E2&gt;15000,ROUND(E2*0.12,0),0)</calculatedColumnFormula>
    </tableColumn>
    <tableColumn id="10" xr3:uid="{67CF227A-F1DD-46CA-AC65-B21347E443E0}" name="ESI" dataDxfId="29">
      <calculatedColumnFormula>IF(H2&lt;21000,ROUND(H2*0.0075,0),0)</calculatedColumnFormula>
    </tableColumn>
    <tableColumn id="11" xr3:uid="{9EC892C4-E8F2-42A3-9796-27E85A38CFB2}" name="Prof_Tax" dataDxfId="28">
      <calculatedColumnFormula>IF(H2&lt;=10000,0,IF(H2&lt;=15000,150,IF(H2&lt;=25000,300,200)))</calculatedColumnFormula>
    </tableColumn>
    <tableColumn id="12" xr3:uid="{557B196D-2BD1-4C49-B129-87EFE7F488E7}" name="LOP_Deduction" dataDxfId="27">
      <calculatedColumnFormula>ROUND((E2/26)*_xlfn.XLOOKUP(Table3[[#This Row],[Emp_ID]],Table2[Emp_ID],Table2[Total Absent]),0)</calculatedColumnFormula>
    </tableColumn>
    <tableColumn id="13" xr3:uid="{A6B728D4-C91B-4D80-8FB2-071E2A542365}" name="Total_Deductions" dataDxfId="26">
      <calculatedColumnFormula>I2+J2+K2+L2</calculatedColumnFormula>
    </tableColumn>
    <tableColumn id="14" xr3:uid="{39F29DD0-3DBC-4AC5-9697-8517742D259A}" name="Net_Salary" dataDxfId="25">
      <calculatedColumnFormula>H2-M2</calculatedColumnFormula>
    </tableColumn>
    <tableColumn id="15" xr3:uid="{350E5ED3-69ED-4769-BBDD-E135B9D354B7}" name="Salary_Status" dataDxfId="24">
      <calculatedColumnFormula>IF(N2&gt;=30000,"High",IF(N2&gt;=20000,"Mid",IF(N2&gt;=12000,"Low","Review")))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B08F-E771-4767-BB9C-2F84628FA0CE}">
  <dimension ref="A1:L107"/>
  <sheetViews>
    <sheetView topLeftCell="A69" workbookViewId="0">
      <selection activeCell="A104" sqref="A104"/>
    </sheetView>
  </sheetViews>
  <sheetFormatPr defaultRowHeight="15"/>
  <cols>
    <col min="1" max="1" width="9.85546875" customWidth="1"/>
    <col min="2" max="2" width="12.5703125" customWidth="1"/>
    <col min="3" max="3" width="13.85546875" customWidth="1"/>
    <col min="4" max="4" width="19.42578125" bestFit="1" customWidth="1"/>
    <col min="5" max="5" width="17.42578125" customWidth="1"/>
    <col min="6" max="6" width="19.7109375" customWidth="1"/>
    <col min="7" max="7" width="13.85546875" customWidth="1"/>
    <col min="8" max="8" width="9.42578125" customWidth="1"/>
    <col min="10" max="10" width="15.5703125" customWidth="1"/>
    <col min="11" max="11" width="11.85546875" bestFit="1" customWidth="1"/>
  </cols>
  <sheetData>
    <row r="1" spans="1:12">
      <c r="A1" t="s">
        <v>0</v>
      </c>
      <c r="B1" t="s">
        <v>506</v>
      </c>
      <c r="C1" t="s">
        <v>1</v>
      </c>
      <c r="D1" t="s">
        <v>228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>
      <c r="A2" t="s">
        <v>10</v>
      </c>
      <c r="B2" t="s">
        <v>116</v>
      </c>
      <c r="C2" t="s">
        <v>222</v>
      </c>
      <c r="D2" t="s">
        <v>233</v>
      </c>
      <c r="E2" s="1">
        <v>45146</v>
      </c>
      <c r="F2" t="s">
        <v>444</v>
      </c>
      <c r="G2">
        <v>12000</v>
      </c>
      <c r="H2">
        <v>0.2</v>
      </c>
      <c r="I2">
        <v>0.08</v>
      </c>
      <c r="J2" t="s">
        <v>341</v>
      </c>
      <c r="K2" t="s">
        <v>237</v>
      </c>
      <c r="L2" t="s">
        <v>234</v>
      </c>
    </row>
    <row r="3" spans="1:12">
      <c r="A3" t="s">
        <v>11</v>
      </c>
      <c r="B3" t="s">
        <v>117</v>
      </c>
      <c r="C3" t="s">
        <v>222</v>
      </c>
      <c r="D3" t="s">
        <v>233</v>
      </c>
      <c r="E3" s="1">
        <v>43957</v>
      </c>
      <c r="F3" t="s">
        <v>444</v>
      </c>
      <c r="G3">
        <v>13000</v>
      </c>
      <c r="H3">
        <v>0.2</v>
      </c>
      <c r="I3">
        <v>0.08</v>
      </c>
      <c r="J3" t="s">
        <v>342</v>
      </c>
      <c r="K3" t="s">
        <v>238</v>
      </c>
      <c r="L3" t="s">
        <v>234</v>
      </c>
    </row>
    <row r="4" spans="1:12">
      <c r="A4" t="s">
        <v>12</v>
      </c>
      <c r="B4" t="s">
        <v>118</v>
      </c>
      <c r="C4" t="s">
        <v>222</v>
      </c>
      <c r="D4" t="s">
        <v>233</v>
      </c>
      <c r="E4" s="1">
        <v>45670</v>
      </c>
      <c r="F4" t="s">
        <v>444</v>
      </c>
      <c r="G4">
        <v>13500</v>
      </c>
      <c r="H4">
        <v>0.2</v>
      </c>
      <c r="I4">
        <v>0.08</v>
      </c>
      <c r="J4" t="s">
        <v>343</v>
      </c>
      <c r="K4" t="s">
        <v>239</v>
      </c>
      <c r="L4" t="s">
        <v>234</v>
      </c>
    </row>
    <row r="5" spans="1:12">
      <c r="A5" t="s">
        <v>13</v>
      </c>
      <c r="B5" t="s">
        <v>119</v>
      </c>
      <c r="C5" t="s">
        <v>222</v>
      </c>
      <c r="D5" t="s">
        <v>233</v>
      </c>
      <c r="E5" s="1">
        <v>44816</v>
      </c>
      <c r="F5" t="s">
        <v>445</v>
      </c>
      <c r="G5">
        <v>15000</v>
      </c>
      <c r="H5">
        <v>0.2</v>
      </c>
      <c r="I5">
        <v>0.08</v>
      </c>
      <c r="J5" t="s">
        <v>344</v>
      </c>
      <c r="K5" t="s">
        <v>240</v>
      </c>
      <c r="L5" t="s">
        <v>234</v>
      </c>
    </row>
    <row r="6" spans="1:12">
      <c r="A6" t="s">
        <v>14</v>
      </c>
      <c r="B6" t="s">
        <v>120</v>
      </c>
      <c r="C6" t="s">
        <v>222</v>
      </c>
      <c r="D6" t="s">
        <v>232</v>
      </c>
      <c r="E6" s="1">
        <v>43432</v>
      </c>
      <c r="F6" t="s">
        <v>444</v>
      </c>
      <c r="G6">
        <v>27000</v>
      </c>
      <c r="H6">
        <v>0.3</v>
      </c>
      <c r="I6">
        <v>0.1</v>
      </c>
      <c r="J6" t="s">
        <v>345</v>
      </c>
      <c r="K6" t="s">
        <v>241</v>
      </c>
      <c r="L6" t="s">
        <v>236</v>
      </c>
    </row>
    <row r="7" spans="1:12">
      <c r="A7" t="s">
        <v>15</v>
      </c>
      <c r="B7" t="s">
        <v>121</v>
      </c>
      <c r="C7" t="s">
        <v>222</v>
      </c>
      <c r="D7" t="s">
        <v>233</v>
      </c>
      <c r="E7" s="1">
        <v>43400</v>
      </c>
      <c r="F7" t="s">
        <v>444</v>
      </c>
      <c r="G7">
        <v>17000</v>
      </c>
      <c r="H7">
        <v>0.2</v>
      </c>
      <c r="I7">
        <v>0.08</v>
      </c>
      <c r="J7" t="s">
        <v>346</v>
      </c>
      <c r="K7" t="s">
        <v>242</v>
      </c>
      <c r="L7" t="s">
        <v>234</v>
      </c>
    </row>
    <row r="8" spans="1:12">
      <c r="A8" t="s">
        <v>16</v>
      </c>
      <c r="B8" t="s">
        <v>122</v>
      </c>
      <c r="C8" t="s">
        <v>222</v>
      </c>
      <c r="D8" t="s">
        <v>233</v>
      </c>
      <c r="E8" s="1">
        <v>45600</v>
      </c>
      <c r="F8" t="s">
        <v>444</v>
      </c>
      <c r="G8">
        <v>15000</v>
      </c>
      <c r="H8">
        <v>0.2</v>
      </c>
      <c r="I8">
        <v>0.08</v>
      </c>
      <c r="J8" t="s">
        <v>347</v>
      </c>
      <c r="K8" t="s">
        <v>243</v>
      </c>
      <c r="L8" t="s">
        <v>234</v>
      </c>
    </row>
    <row r="9" spans="1:12">
      <c r="A9" t="s">
        <v>17</v>
      </c>
      <c r="B9" t="s">
        <v>123</v>
      </c>
      <c r="C9" t="s">
        <v>222</v>
      </c>
      <c r="D9" t="s">
        <v>233</v>
      </c>
      <c r="E9" s="1">
        <v>45736</v>
      </c>
      <c r="F9" t="s">
        <v>444</v>
      </c>
      <c r="G9">
        <v>14000</v>
      </c>
      <c r="H9">
        <v>0.2</v>
      </c>
      <c r="I9">
        <v>0.08</v>
      </c>
      <c r="J9" t="s">
        <v>348</v>
      </c>
      <c r="K9" t="s">
        <v>244</v>
      </c>
      <c r="L9" t="s">
        <v>234</v>
      </c>
    </row>
    <row r="10" spans="1:12">
      <c r="A10" t="s">
        <v>18</v>
      </c>
      <c r="B10" t="s">
        <v>124</v>
      </c>
      <c r="C10" t="s">
        <v>222</v>
      </c>
      <c r="D10" t="s">
        <v>232</v>
      </c>
      <c r="E10" s="1">
        <v>44099</v>
      </c>
      <c r="F10" t="s">
        <v>445</v>
      </c>
      <c r="G10">
        <v>23000</v>
      </c>
      <c r="H10">
        <v>0.3</v>
      </c>
      <c r="I10">
        <v>0.1</v>
      </c>
      <c r="J10" t="s">
        <v>349</v>
      </c>
      <c r="K10" t="s">
        <v>245</v>
      </c>
      <c r="L10" t="s">
        <v>234</v>
      </c>
    </row>
    <row r="11" spans="1:12">
      <c r="A11" t="s">
        <v>19</v>
      </c>
      <c r="B11" t="s">
        <v>125</v>
      </c>
      <c r="C11" t="s">
        <v>222</v>
      </c>
      <c r="D11" t="s">
        <v>233</v>
      </c>
      <c r="E11" s="1">
        <v>44587</v>
      </c>
      <c r="F11" t="s">
        <v>444</v>
      </c>
      <c r="G11">
        <v>14000</v>
      </c>
      <c r="H11">
        <v>0.2</v>
      </c>
      <c r="I11">
        <v>0.08</v>
      </c>
      <c r="J11" t="s">
        <v>350</v>
      </c>
      <c r="K11" t="s">
        <v>246</v>
      </c>
      <c r="L11" t="s">
        <v>234</v>
      </c>
    </row>
    <row r="12" spans="1:12">
      <c r="A12" t="s">
        <v>20</v>
      </c>
      <c r="B12" t="s">
        <v>126</v>
      </c>
      <c r="C12" t="s">
        <v>222</v>
      </c>
      <c r="D12" t="s">
        <v>230</v>
      </c>
      <c r="E12" s="1">
        <v>43174</v>
      </c>
      <c r="F12" t="s">
        <v>444</v>
      </c>
      <c r="G12">
        <v>55000</v>
      </c>
      <c r="H12">
        <v>0.4</v>
      </c>
      <c r="I12">
        <v>0.15</v>
      </c>
      <c r="J12" t="s">
        <v>351</v>
      </c>
      <c r="K12" t="s">
        <v>247</v>
      </c>
      <c r="L12" t="s">
        <v>234</v>
      </c>
    </row>
    <row r="13" spans="1:12">
      <c r="A13" t="s">
        <v>21</v>
      </c>
      <c r="B13" t="s">
        <v>127</v>
      </c>
      <c r="C13" t="s">
        <v>222</v>
      </c>
      <c r="D13" t="s">
        <v>233</v>
      </c>
      <c r="E13" s="1">
        <v>43682</v>
      </c>
      <c r="F13" t="s">
        <v>444</v>
      </c>
      <c r="G13">
        <v>18000</v>
      </c>
      <c r="H13">
        <v>0.2</v>
      </c>
      <c r="I13">
        <v>0.08</v>
      </c>
      <c r="J13" t="s">
        <v>352</v>
      </c>
      <c r="K13" t="s">
        <v>248</v>
      </c>
      <c r="L13" t="s">
        <v>235</v>
      </c>
    </row>
    <row r="14" spans="1:12">
      <c r="A14" t="s">
        <v>22</v>
      </c>
      <c r="B14" t="s">
        <v>128</v>
      </c>
      <c r="C14" t="s">
        <v>222</v>
      </c>
      <c r="D14" t="s">
        <v>233</v>
      </c>
      <c r="E14" s="1">
        <v>43689</v>
      </c>
      <c r="F14" t="s">
        <v>445</v>
      </c>
      <c r="G14">
        <v>17500</v>
      </c>
      <c r="H14">
        <v>0.2</v>
      </c>
      <c r="I14">
        <v>0.08</v>
      </c>
      <c r="J14" t="s">
        <v>353</v>
      </c>
      <c r="K14" t="s">
        <v>249</v>
      </c>
      <c r="L14" t="s">
        <v>234</v>
      </c>
    </row>
    <row r="15" spans="1:12">
      <c r="A15" t="s">
        <v>23</v>
      </c>
      <c r="B15" t="s">
        <v>129</v>
      </c>
      <c r="C15" t="s">
        <v>222</v>
      </c>
      <c r="D15" t="s">
        <v>233</v>
      </c>
      <c r="E15" s="1">
        <v>45949</v>
      </c>
      <c r="F15" t="s">
        <v>444</v>
      </c>
      <c r="G15">
        <v>16500</v>
      </c>
      <c r="H15">
        <v>0.2</v>
      </c>
      <c r="I15">
        <v>0.08</v>
      </c>
      <c r="J15" t="s">
        <v>354</v>
      </c>
      <c r="K15" t="s">
        <v>250</v>
      </c>
      <c r="L15" t="s">
        <v>234</v>
      </c>
    </row>
    <row r="16" spans="1:12">
      <c r="A16" t="s">
        <v>24</v>
      </c>
      <c r="B16" t="s">
        <v>130</v>
      </c>
      <c r="C16" t="s">
        <v>222</v>
      </c>
      <c r="D16" t="s">
        <v>232</v>
      </c>
      <c r="E16" s="1">
        <v>44997</v>
      </c>
      <c r="F16" t="s">
        <v>444</v>
      </c>
      <c r="G16">
        <v>24000</v>
      </c>
      <c r="H16">
        <v>0.3</v>
      </c>
      <c r="I16">
        <v>0.1</v>
      </c>
      <c r="J16" t="s">
        <v>355</v>
      </c>
      <c r="K16" t="s">
        <v>251</v>
      </c>
      <c r="L16" t="s">
        <v>234</v>
      </c>
    </row>
    <row r="17" spans="1:12">
      <c r="A17" t="s">
        <v>25</v>
      </c>
      <c r="B17" t="s">
        <v>131</v>
      </c>
      <c r="C17" t="s">
        <v>222</v>
      </c>
      <c r="D17" t="s">
        <v>233</v>
      </c>
      <c r="E17" s="1">
        <v>44779</v>
      </c>
      <c r="F17" t="s">
        <v>444</v>
      </c>
      <c r="G17">
        <v>15000</v>
      </c>
      <c r="H17">
        <v>0.2</v>
      </c>
      <c r="I17">
        <v>0.08</v>
      </c>
      <c r="J17" t="s">
        <v>356</v>
      </c>
      <c r="K17" t="s">
        <v>252</v>
      </c>
      <c r="L17" t="s">
        <v>234</v>
      </c>
    </row>
    <row r="18" spans="1:12">
      <c r="A18" t="s">
        <v>26</v>
      </c>
      <c r="B18" t="s">
        <v>132</v>
      </c>
      <c r="C18" t="s">
        <v>222</v>
      </c>
      <c r="D18" t="s">
        <v>233</v>
      </c>
      <c r="E18" s="1">
        <v>44822</v>
      </c>
      <c r="F18" t="s">
        <v>444</v>
      </c>
      <c r="G18">
        <v>15500</v>
      </c>
      <c r="H18">
        <v>0.2</v>
      </c>
      <c r="I18">
        <v>0.08</v>
      </c>
      <c r="J18" t="s">
        <v>357</v>
      </c>
      <c r="K18" t="s">
        <v>253</v>
      </c>
      <c r="L18" t="s">
        <v>234</v>
      </c>
    </row>
    <row r="19" spans="1:12">
      <c r="A19" t="s">
        <v>27</v>
      </c>
      <c r="B19" t="s">
        <v>133</v>
      </c>
      <c r="C19" t="s">
        <v>222</v>
      </c>
      <c r="D19" t="s">
        <v>233</v>
      </c>
      <c r="E19" s="1">
        <v>43658</v>
      </c>
      <c r="F19" t="s">
        <v>444</v>
      </c>
      <c r="G19">
        <v>16000</v>
      </c>
      <c r="H19">
        <v>0.2</v>
      </c>
      <c r="I19">
        <v>0.08</v>
      </c>
      <c r="J19" t="s">
        <v>358</v>
      </c>
      <c r="K19" t="s">
        <v>254</v>
      </c>
      <c r="L19" t="s">
        <v>234</v>
      </c>
    </row>
    <row r="20" spans="1:12">
      <c r="A20" t="s">
        <v>28</v>
      </c>
      <c r="B20" t="s">
        <v>134</v>
      </c>
      <c r="C20" t="s">
        <v>222</v>
      </c>
      <c r="D20" t="s">
        <v>231</v>
      </c>
      <c r="E20" s="1">
        <v>45395</v>
      </c>
      <c r="F20" t="s">
        <v>444</v>
      </c>
      <c r="G20">
        <v>38000</v>
      </c>
      <c r="H20">
        <v>0.35</v>
      </c>
      <c r="I20">
        <v>0.12</v>
      </c>
      <c r="J20" t="s">
        <v>359</v>
      </c>
      <c r="K20" t="s">
        <v>255</v>
      </c>
      <c r="L20" t="s">
        <v>234</v>
      </c>
    </row>
    <row r="21" spans="1:12">
      <c r="A21" t="s">
        <v>29</v>
      </c>
      <c r="B21" t="s">
        <v>135</v>
      </c>
      <c r="C21" t="s">
        <v>222</v>
      </c>
      <c r="D21" t="s">
        <v>233</v>
      </c>
      <c r="E21" s="1">
        <v>45458</v>
      </c>
      <c r="F21" t="s">
        <v>444</v>
      </c>
      <c r="G21">
        <v>17000</v>
      </c>
      <c r="H21">
        <v>0.2</v>
      </c>
      <c r="I21">
        <v>0.08</v>
      </c>
      <c r="J21" t="s">
        <v>360</v>
      </c>
      <c r="K21" t="s">
        <v>256</v>
      </c>
      <c r="L21" t="s">
        <v>234</v>
      </c>
    </row>
    <row r="22" spans="1:12">
      <c r="A22" t="s">
        <v>30</v>
      </c>
      <c r="B22" t="s">
        <v>136</v>
      </c>
      <c r="C22" t="s">
        <v>222</v>
      </c>
      <c r="D22" t="s">
        <v>232</v>
      </c>
      <c r="E22" s="1">
        <v>45622</v>
      </c>
      <c r="F22" t="s">
        <v>444</v>
      </c>
      <c r="G22">
        <v>25000</v>
      </c>
      <c r="H22">
        <v>0.3</v>
      </c>
      <c r="I22">
        <v>0.1</v>
      </c>
      <c r="J22" t="s">
        <v>361</v>
      </c>
      <c r="K22" t="s">
        <v>257</v>
      </c>
      <c r="L22" t="s">
        <v>234</v>
      </c>
    </row>
    <row r="23" spans="1:12">
      <c r="A23" t="s">
        <v>31</v>
      </c>
      <c r="B23" t="s">
        <v>137</v>
      </c>
      <c r="C23" t="s">
        <v>222</v>
      </c>
      <c r="D23" t="s">
        <v>233</v>
      </c>
      <c r="E23" s="1">
        <v>44109</v>
      </c>
      <c r="F23" t="s">
        <v>444</v>
      </c>
      <c r="G23">
        <v>18000</v>
      </c>
      <c r="H23">
        <v>0.2</v>
      </c>
      <c r="I23">
        <v>0.08</v>
      </c>
      <c r="J23" t="s">
        <v>362</v>
      </c>
      <c r="K23" t="s">
        <v>258</v>
      </c>
      <c r="L23" t="s">
        <v>236</v>
      </c>
    </row>
    <row r="24" spans="1:12">
      <c r="A24" t="s">
        <v>32</v>
      </c>
      <c r="B24" t="s">
        <v>138</v>
      </c>
      <c r="C24" t="s">
        <v>222</v>
      </c>
      <c r="D24" t="s">
        <v>231</v>
      </c>
      <c r="E24" s="1">
        <v>45161</v>
      </c>
      <c r="F24" t="s">
        <v>444</v>
      </c>
      <c r="G24">
        <v>35000</v>
      </c>
      <c r="H24">
        <v>0.35</v>
      </c>
      <c r="I24">
        <v>0.12</v>
      </c>
      <c r="J24" t="s">
        <v>363</v>
      </c>
      <c r="K24" t="s">
        <v>259</v>
      </c>
      <c r="L24" t="s">
        <v>234</v>
      </c>
    </row>
    <row r="25" spans="1:12">
      <c r="A25" t="s">
        <v>33</v>
      </c>
      <c r="B25" t="s">
        <v>139</v>
      </c>
      <c r="C25" t="s">
        <v>222</v>
      </c>
      <c r="D25" t="s">
        <v>233</v>
      </c>
      <c r="E25" s="1">
        <v>44962</v>
      </c>
      <c r="F25" t="s">
        <v>445</v>
      </c>
      <c r="G25">
        <v>15000</v>
      </c>
      <c r="H25">
        <v>0.2</v>
      </c>
      <c r="I25">
        <v>0.08</v>
      </c>
      <c r="J25" t="s">
        <v>364</v>
      </c>
      <c r="K25" t="s">
        <v>260</v>
      </c>
      <c r="L25" t="s">
        <v>234</v>
      </c>
    </row>
    <row r="26" spans="1:12">
      <c r="A26" t="s">
        <v>34</v>
      </c>
      <c r="B26" t="s">
        <v>140</v>
      </c>
      <c r="C26" t="s">
        <v>222</v>
      </c>
      <c r="D26" t="s">
        <v>233</v>
      </c>
      <c r="E26" s="1">
        <v>44598</v>
      </c>
      <c r="F26" t="s">
        <v>444</v>
      </c>
      <c r="G26">
        <v>14000</v>
      </c>
      <c r="H26">
        <v>0.2</v>
      </c>
      <c r="I26">
        <v>0.08</v>
      </c>
      <c r="J26" t="s">
        <v>365</v>
      </c>
      <c r="K26" t="s">
        <v>261</v>
      </c>
      <c r="L26" t="s">
        <v>234</v>
      </c>
    </row>
    <row r="27" spans="1:12">
      <c r="A27" t="s">
        <v>35</v>
      </c>
      <c r="B27" t="s">
        <v>141</v>
      </c>
      <c r="C27" t="s">
        <v>222</v>
      </c>
      <c r="D27" t="s">
        <v>233</v>
      </c>
      <c r="E27" s="1">
        <v>43251</v>
      </c>
      <c r="F27" t="s">
        <v>444</v>
      </c>
      <c r="G27">
        <v>13500</v>
      </c>
      <c r="H27">
        <v>0.2</v>
      </c>
      <c r="I27">
        <v>0.08</v>
      </c>
      <c r="J27" t="s">
        <v>438</v>
      </c>
      <c r="K27" t="s">
        <v>262</v>
      </c>
      <c r="L27" t="s">
        <v>234</v>
      </c>
    </row>
    <row r="28" spans="1:12">
      <c r="A28" t="s">
        <v>36</v>
      </c>
      <c r="B28" t="s">
        <v>142</v>
      </c>
      <c r="C28" t="s">
        <v>222</v>
      </c>
      <c r="D28" t="s">
        <v>231</v>
      </c>
      <c r="E28" s="1">
        <v>43435</v>
      </c>
      <c r="F28" t="s">
        <v>444</v>
      </c>
      <c r="G28">
        <v>32000</v>
      </c>
      <c r="H28">
        <v>0.35</v>
      </c>
      <c r="I28">
        <v>0.12</v>
      </c>
      <c r="J28" t="s">
        <v>439</v>
      </c>
      <c r="K28" t="s">
        <v>263</v>
      </c>
      <c r="L28" t="s">
        <v>234</v>
      </c>
    </row>
    <row r="29" spans="1:12">
      <c r="A29" t="s">
        <v>37</v>
      </c>
      <c r="B29" t="s">
        <v>143</v>
      </c>
      <c r="C29" t="s">
        <v>222</v>
      </c>
      <c r="D29" t="s">
        <v>233</v>
      </c>
      <c r="E29" s="1">
        <v>43414</v>
      </c>
      <c r="F29" t="s">
        <v>444</v>
      </c>
      <c r="G29">
        <v>17500</v>
      </c>
      <c r="H29">
        <v>0.2</v>
      </c>
      <c r="I29">
        <v>0.08</v>
      </c>
      <c r="J29" t="s">
        <v>440</v>
      </c>
      <c r="K29" t="s">
        <v>264</v>
      </c>
      <c r="L29" t="s">
        <v>234</v>
      </c>
    </row>
    <row r="30" spans="1:12">
      <c r="A30" t="s">
        <v>38</v>
      </c>
      <c r="B30" t="s">
        <v>144</v>
      </c>
      <c r="C30" t="s">
        <v>222</v>
      </c>
      <c r="D30" t="s">
        <v>233</v>
      </c>
      <c r="E30" s="1">
        <v>45244</v>
      </c>
      <c r="F30" t="s">
        <v>444</v>
      </c>
      <c r="G30">
        <v>16000</v>
      </c>
      <c r="H30">
        <v>0.2</v>
      </c>
      <c r="I30">
        <v>0.08</v>
      </c>
      <c r="J30" t="s">
        <v>366</v>
      </c>
      <c r="K30" t="s">
        <v>265</v>
      </c>
      <c r="L30" t="s">
        <v>236</v>
      </c>
    </row>
    <row r="31" spans="1:12">
      <c r="A31" t="s">
        <v>39</v>
      </c>
      <c r="B31" t="s">
        <v>145</v>
      </c>
      <c r="C31" t="s">
        <v>222</v>
      </c>
      <c r="D31" t="s">
        <v>233</v>
      </c>
      <c r="E31" s="1">
        <v>43634</v>
      </c>
      <c r="F31" t="s">
        <v>444</v>
      </c>
      <c r="G31">
        <v>14000</v>
      </c>
      <c r="H31">
        <v>0.2</v>
      </c>
      <c r="I31">
        <v>0.08</v>
      </c>
      <c r="J31" t="s">
        <v>367</v>
      </c>
      <c r="K31" t="s">
        <v>266</v>
      </c>
      <c r="L31" t="s">
        <v>234</v>
      </c>
    </row>
    <row r="32" spans="1:12">
      <c r="A32" t="s">
        <v>40</v>
      </c>
      <c r="B32" t="s">
        <v>146</v>
      </c>
      <c r="C32" t="s">
        <v>222</v>
      </c>
      <c r="D32" t="s">
        <v>233</v>
      </c>
      <c r="E32" s="1">
        <v>45845</v>
      </c>
      <c r="F32" t="s">
        <v>444</v>
      </c>
      <c r="G32">
        <v>15000</v>
      </c>
      <c r="H32">
        <v>0.2</v>
      </c>
      <c r="I32">
        <v>0.08</v>
      </c>
      <c r="J32" t="s">
        <v>368</v>
      </c>
      <c r="K32" t="s">
        <v>267</v>
      </c>
      <c r="L32" t="s">
        <v>234</v>
      </c>
    </row>
    <row r="33" spans="1:12">
      <c r="A33" t="s">
        <v>41</v>
      </c>
      <c r="B33" t="s">
        <v>147</v>
      </c>
      <c r="C33" t="s">
        <v>222</v>
      </c>
      <c r="D33" t="s">
        <v>232</v>
      </c>
      <c r="E33" s="1">
        <v>44265</v>
      </c>
      <c r="F33" t="s">
        <v>444</v>
      </c>
      <c r="G33">
        <v>28000</v>
      </c>
      <c r="H33">
        <v>0.3</v>
      </c>
      <c r="I33">
        <v>0.1</v>
      </c>
      <c r="J33" t="s">
        <v>369</v>
      </c>
      <c r="K33" t="s">
        <v>268</v>
      </c>
      <c r="L33" t="s">
        <v>234</v>
      </c>
    </row>
    <row r="34" spans="1:12">
      <c r="A34" t="s">
        <v>42</v>
      </c>
      <c r="B34" t="s">
        <v>148</v>
      </c>
      <c r="C34" t="s">
        <v>222</v>
      </c>
      <c r="D34" t="s">
        <v>233</v>
      </c>
      <c r="E34" s="1">
        <v>43507</v>
      </c>
      <c r="F34" t="s">
        <v>445</v>
      </c>
      <c r="G34">
        <v>17000</v>
      </c>
      <c r="H34">
        <v>0.2</v>
      </c>
      <c r="I34">
        <v>0.08</v>
      </c>
      <c r="J34" t="s">
        <v>370</v>
      </c>
      <c r="K34" t="s">
        <v>269</v>
      </c>
      <c r="L34" t="s">
        <v>236</v>
      </c>
    </row>
    <row r="35" spans="1:12">
      <c r="A35" t="s">
        <v>43</v>
      </c>
      <c r="B35" t="s">
        <v>149</v>
      </c>
      <c r="C35" t="s">
        <v>223</v>
      </c>
      <c r="D35" t="s">
        <v>233</v>
      </c>
      <c r="E35" s="1">
        <v>45593</v>
      </c>
      <c r="F35" t="s">
        <v>445</v>
      </c>
      <c r="G35">
        <v>12000</v>
      </c>
      <c r="H35">
        <v>0.2</v>
      </c>
      <c r="I35">
        <v>0.08</v>
      </c>
      <c r="J35" t="s">
        <v>371</v>
      </c>
      <c r="K35" t="s">
        <v>270</v>
      </c>
      <c r="L35" t="s">
        <v>234</v>
      </c>
    </row>
    <row r="36" spans="1:12">
      <c r="A36" t="s">
        <v>44</v>
      </c>
      <c r="B36" t="s">
        <v>150</v>
      </c>
      <c r="C36" t="s">
        <v>223</v>
      </c>
      <c r="D36" t="s">
        <v>233</v>
      </c>
      <c r="E36" s="1">
        <v>44864</v>
      </c>
      <c r="F36" t="s">
        <v>444</v>
      </c>
      <c r="G36">
        <v>15000</v>
      </c>
      <c r="H36">
        <v>0.2</v>
      </c>
      <c r="I36">
        <v>0.08</v>
      </c>
      <c r="J36" t="s">
        <v>372</v>
      </c>
      <c r="K36" t="s">
        <v>271</v>
      </c>
      <c r="L36" t="s">
        <v>234</v>
      </c>
    </row>
    <row r="37" spans="1:12">
      <c r="A37" t="s">
        <v>45</v>
      </c>
      <c r="B37" t="s">
        <v>151</v>
      </c>
      <c r="C37" t="s">
        <v>223</v>
      </c>
      <c r="D37" t="s">
        <v>233</v>
      </c>
      <c r="E37" s="1">
        <v>44369</v>
      </c>
      <c r="F37" t="s">
        <v>444</v>
      </c>
      <c r="G37">
        <v>16000</v>
      </c>
      <c r="H37">
        <v>0.2</v>
      </c>
      <c r="I37">
        <v>0.08</v>
      </c>
      <c r="J37" t="s">
        <v>373</v>
      </c>
      <c r="K37" t="s">
        <v>272</v>
      </c>
      <c r="L37" t="s">
        <v>234</v>
      </c>
    </row>
    <row r="38" spans="1:12">
      <c r="A38" t="s">
        <v>46</v>
      </c>
      <c r="B38" t="s">
        <v>152</v>
      </c>
      <c r="C38" t="s">
        <v>223</v>
      </c>
      <c r="D38" t="s">
        <v>233</v>
      </c>
      <c r="E38" s="1">
        <v>45668</v>
      </c>
      <c r="F38" t="s">
        <v>444</v>
      </c>
      <c r="G38">
        <v>14000</v>
      </c>
      <c r="H38">
        <v>0.2</v>
      </c>
      <c r="I38">
        <v>0.08</v>
      </c>
      <c r="J38" t="s">
        <v>374</v>
      </c>
      <c r="K38" t="s">
        <v>273</v>
      </c>
      <c r="L38" t="s">
        <v>235</v>
      </c>
    </row>
    <row r="39" spans="1:12">
      <c r="A39" t="s">
        <v>47</v>
      </c>
      <c r="B39" t="s">
        <v>153</v>
      </c>
      <c r="C39" t="s">
        <v>223</v>
      </c>
      <c r="D39" t="s">
        <v>233</v>
      </c>
      <c r="E39" s="1">
        <v>45627</v>
      </c>
      <c r="F39" t="s">
        <v>445</v>
      </c>
      <c r="G39">
        <v>13000</v>
      </c>
      <c r="H39">
        <v>0.2</v>
      </c>
      <c r="I39">
        <v>0.08</v>
      </c>
      <c r="J39" t="s">
        <v>375</v>
      </c>
      <c r="K39" t="s">
        <v>274</v>
      </c>
      <c r="L39" t="s">
        <v>234</v>
      </c>
    </row>
    <row r="40" spans="1:12">
      <c r="A40" t="s">
        <v>48</v>
      </c>
      <c r="B40" t="s">
        <v>154</v>
      </c>
      <c r="C40" t="s">
        <v>223</v>
      </c>
      <c r="D40" t="s">
        <v>233</v>
      </c>
      <c r="E40" s="1">
        <v>44539</v>
      </c>
      <c r="F40" t="s">
        <v>444</v>
      </c>
      <c r="G40">
        <v>16000</v>
      </c>
      <c r="I40">
        <v>0.08</v>
      </c>
      <c r="J40" t="s">
        <v>376</v>
      </c>
      <c r="K40" t="s">
        <v>275</v>
      </c>
      <c r="L40" t="s">
        <v>234</v>
      </c>
    </row>
    <row r="41" spans="1:12">
      <c r="A41" t="s">
        <v>49</v>
      </c>
      <c r="B41" t="s">
        <v>155</v>
      </c>
      <c r="C41" t="s">
        <v>223</v>
      </c>
      <c r="D41" t="s">
        <v>231</v>
      </c>
      <c r="E41" s="1">
        <v>45367</v>
      </c>
      <c r="F41" t="s">
        <v>444</v>
      </c>
      <c r="G41">
        <v>36000</v>
      </c>
      <c r="H41">
        <v>0.3</v>
      </c>
      <c r="I41">
        <v>0.12</v>
      </c>
      <c r="J41" t="s">
        <v>377</v>
      </c>
      <c r="K41" t="s">
        <v>276</v>
      </c>
      <c r="L41" t="s">
        <v>234</v>
      </c>
    </row>
    <row r="42" spans="1:12">
      <c r="A42" t="s">
        <v>50</v>
      </c>
      <c r="B42" t="s">
        <v>156</v>
      </c>
      <c r="C42" t="s">
        <v>223</v>
      </c>
      <c r="D42" t="s">
        <v>232</v>
      </c>
      <c r="E42" s="1">
        <v>45997</v>
      </c>
      <c r="F42" t="s">
        <v>444</v>
      </c>
      <c r="G42">
        <v>22000</v>
      </c>
      <c r="H42">
        <v>0.3</v>
      </c>
      <c r="I42">
        <v>0.1</v>
      </c>
      <c r="J42" t="s">
        <v>378</v>
      </c>
      <c r="K42" t="s">
        <v>277</v>
      </c>
      <c r="L42" t="s">
        <v>234</v>
      </c>
    </row>
    <row r="43" spans="1:12">
      <c r="A43" t="s">
        <v>51</v>
      </c>
      <c r="B43" t="s">
        <v>157</v>
      </c>
      <c r="C43" t="s">
        <v>223</v>
      </c>
      <c r="D43" t="s">
        <v>232</v>
      </c>
      <c r="E43" s="1">
        <v>45331</v>
      </c>
      <c r="F43" t="s">
        <v>444</v>
      </c>
      <c r="G43">
        <v>24000</v>
      </c>
      <c r="H43">
        <v>0.3</v>
      </c>
      <c r="I43">
        <v>0.1</v>
      </c>
      <c r="J43" t="s">
        <v>379</v>
      </c>
      <c r="K43" t="s">
        <v>278</v>
      </c>
      <c r="L43" t="s">
        <v>234</v>
      </c>
    </row>
    <row r="44" spans="1:12">
      <c r="A44" t="s">
        <v>52</v>
      </c>
      <c r="B44" t="s">
        <v>158</v>
      </c>
      <c r="C44" t="s">
        <v>223</v>
      </c>
      <c r="D44" t="s">
        <v>232</v>
      </c>
      <c r="E44" s="1">
        <v>43486</v>
      </c>
      <c r="F44" t="s">
        <v>445</v>
      </c>
      <c r="G44">
        <v>21000</v>
      </c>
      <c r="H44">
        <v>0.3</v>
      </c>
      <c r="I44">
        <v>0.1</v>
      </c>
      <c r="J44" t="s">
        <v>380</v>
      </c>
      <c r="K44" t="s">
        <v>279</v>
      </c>
      <c r="L44" t="s">
        <v>234</v>
      </c>
    </row>
    <row r="45" spans="1:12">
      <c r="A45" t="s">
        <v>53</v>
      </c>
      <c r="B45" t="s">
        <v>159</v>
      </c>
      <c r="C45" t="s">
        <v>223</v>
      </c>
      <c r="D45" t="s">
        <v>232</v>
      </c>
      <c r="E45" s="1">
        <v>43479</v>
      </c>
      <c r="F45" t="s">
        <v>444</v>
      </c>
      <c r="G45">
        <v>28000</v>
      </c>
      <c r="H45">
        <v>0.3</v>
      </c>
      <c r="I45">
        <v>0.1</v>
      </c>
      <c r="J45" t="s">
        <v>381</v>
      </c>
      <c r="K45" t="s">
        <v>280</v>
      </c>
      <c r="L45" t="s">
        <v>234</v>
      </c>
    </row>
    <row r="46" spans="1:12">
      <c r="A46" t="s">
        <v>54</v>
      </c>
      <c r="B46" t="s">
        <v>160</v>
      </c>
      <c r="C46" t="s">
        <v>223</v>
      </c>
      <c r="D46" t="s">
        <v>232</v>
      </c>
      <c r="E46" s="1">
        <v>45627</v>
      </c>
      <c r="F46" t="s">
        <v>444</v>
      </c>
      <c r="G46">
        <v>23000</v>
      </c>
      <c r="H46">
        <v>0.3</v>
      </c>
      <c r="I46">
        <v>0.1</v>
      </c>
      <c r="J46" t="s">
        <v>382</v>
      </c>
      <c r="K46" t="s">
        <v>281</v>
      </c>
      <c r="L46" t="s">
        <v>234</v>
      </c>
    </row>
    <row r="47" spans="1:12">
      <c r="A47" t="s">
        <v>55</v>
      </c>
      <c r="B47" t="s">
        <v>161</v>
      </c>
      <c r="C47" t="s">
        <v>223</v>
      </c>
      <c r="D47" t="s">
        <v>231</v>
      </c>
      <c r="E47" s="1">
        <v>43181</v>
      </c>
      <c r="F47" t="s">
        <v>444</v>
      </c>
      <c r="G47">
        <v>33000</v>
      </c>
      <c r="H47">
        <v>0.35</v>
      </c>
      <c r="I47">
        <v>0.12</v>
      </c>
      <c r="J47" t="s">
        <v>383</v>
      </c>
      <c r="K47" t="s">
        <v>282</v>
      </c>
      <c r="L47" t="s">
        <v>234</v>
      </c>
    </row>
    <row r="48" spans="1:12">
      <c r="A48" t="s">
        <v>56</v>
      </c>
      <c r="B48" t="s">
        <v>162</v>
      </c>
      <c r="C48" t="s">
        <v>223</v>
      </c>
      <c r="D48" t="s">
        <v>233</v>
      </c>
      <c r="E48" s="1">
        <v>44223</v>
      </c>
      <c r="F48" t="s">
        <v>445</v>
      </c>
      <c r="G48">
        <v>13000</v>
      </c>
      <c r="H48">
        <v>0.2</v>
      </c>
      <c r="I48">
        <v>0.08</v>
      </c>
      <c r="J48" t="s">
        <v>384</v>
      </c>
      <c r="K48" t="s">
        <v>283</v>
      </c>
      <c r="L48" t="s">
        <v>234</v>
      </c>
    </row>
    <row r="49" spans="1:12">
      <c r="A49" t="s">
        <v>57</v>
      </c>
      <c r="B49" t="s">
        <v>163</v>
      </c>
      <c r="C49" t="s">
        <v>223</v>
      </c>
      <c r="D49" t="s">
        <v>233</v>
      </c>
      <c r="E49" s="1">
        <v>43195</v>
      </c>
      <c r="F49" t="s">
        <v>444</v>
      </c>
      <c r="G49">
        <v>14000</v>
      </c>
      <c r="H49">
        <v>0.2</v>
      </c>
      <c r="I49">
        <v>0.08</v>
      </c>
      <c r="J49" t="s">
        <v>385</v>
      </c>
      <c r="K49" t="s">
        <v>284</v>
      </c>
      <c r="L49" t="s">
        <v>234</v>
      </c>
    </row>
    <row r="50" spans="1:12">
      <c r="A50" t="s">
        <v>58</v>
      </c>
      <c r="B50" t="s">
        <v>164</v>
      </c>
      <c r="C50" t="s">
        <v>223</v>
      </c>
      <c r="D50" t="s">
        <v>233</v>
      </c>
      <c r="E50" s="1">
        <v>43904</v>
      </c>
      <c r="F50" t="s">
        <v>444</v>
      </c>
      <c r="G50">
        <v>16000</v>
      </c>
      <c r="H50">
        <v>0.2</v>
      </c>
      <c r="I50">
        <v>0.08</v>
      </c>
      <c r="J50" t="s">
        <v>386</v>
      </c>
      <c r="K50" t="s">
        <v>285</v>
      </c>
      <c r="L50" t="s">
        <v>234</v>
      </c>
    </row>
    <row r="51" spans="1:12">
      <c r="A51" t="s">
        <v>59</v>
      </c>
      <c r="B51" t="s">
        <v>165</v>
      </c>
      <c r="C51" t="s">
        <v>223</v>
      </c>
      <c r="D51" t="s">
        <v>233</v>
      </c>
      <c r="E51" s="1">
        <v>44724</v>
      </c>
      <c r="F51" t="s">
        <v>445</v>
      </c>
      <c r="G51">
        <v>15000</v>
      </c>
      <c r="H51">
        <v>0.2</v>
      </c>
      <c r="I51">
        <v>0.08</v>
      </c>
      <c r="J51" t="s">
        <v>387</v>
      </c>
      <c r="K51" t="s">
        <v>286</v>
      </c>
      <c r="L51" t="s">
        <v>234</v>
      </c>
    </row>
    <row r="52" spans="1:12">
      <c r="A52" t="s">
        <v>60</v>
      </c>
      <c r="B52" t="s">
        <v>166</v>
      </c>
      <c r="C52" t="s">
        <v>223</v>
      </c>
      <c r="D52" t="s">
        <v>230</v>
      </c>
      <c r="E52" s="1">
        <v>43691</v>
      </c>
      <c r="F52" t="s">
        <v>444</v>
      </c>
      <c r="G52">
        <v>48000</v>
      </c>
      <c r="H52">
        <v>0.4</v>
      </c>
      <c r="I52">
        <v>0.15</v>
      </c>
      <c r="J52" t="s">
        <v>388</v>
      </c>
      <c r="K52" t="s">
        <v>287</v>
      </c>
      <c r="L52" t="s">
        <v>234</v>
      </c>
    </row>
    <row r="53" spans="1:12">
      <c r="A53" t="s">
        <v>61</v>
      </c>
      <c r="B53" t="s">
        <v>167</v>
      </c>
      <c r="C53" t="s">
        <v>223</v>
      </c>
      <c r="D53" t="s">
        <v>232</v>
      </c>
      <c r="E53" s="1">
        <v>45573</v>
      </c>
      <c r="F53" t="s">
        <v>444</v>
      </c>
      <c r="G53">
        <v>25000</v>
      </c>
      <c r="H53">
        <v>0.3</v>
      </c>
      <c r="I53">
        <v>0.1</v>
      </c>
      <c r="J53" t="s">
        <v>438</v>
      </c>
      <c r="K53" t="s">
        <v>288</v>
      </c>
      <c r="L53" t="s">
        <v>234</v>
      </c>
    </row>
    <row r="54" spans="1:12">
      <c r="A54" t="s">
        <v>62</v>
      </c>
      <c r="B54" t="s">
        <v>168</v>
      </c>
      <c r="C54" t="s">
        <v>223</v>
      </c>
      <c r="D54" t="s">
        <v>232</v>
      </c>
      <c r="E54" s="1">
        <v>43387</v>
      </c>
      <c r="F54" t="s">
        <v>444</v>
      </c>
      <c r="G54">
        <v>24000</v>
      </c>
      <c r="H54">
        <v>0.3</v>
      </c>
      <c r="I54">
        <v>0.1</v>
      </c>
      <c r="J54" t="s">
        <v>441</v>
      </c>
      <c r="K54" t="s">
        <v>289</v>
      </c>
      <c r="L54" t="s">
        <v>234</v>
      </c>
    </row>
    <row r="55" spans="1:12">
      <c r="A55" t="s">
        <v>63</v>
      </c>
      <c r="B55" t="s">
        <v>169</v>
      </c>
      <c r="C55" t="s">
        <v>223</v>
      </c>
      <c r="D55" t="s">
        <v>233</v>
      </c>
      <c r="E55" s="1">
        <v>45095</v>
      </c>
      <c r="F55" t="s">
        <v>444</v>
      </c>
      <c r="G55">
        <v>12000</v>
      </c>
      <c r="H55">
        <v>0.2</v>
      </c>
      <c r="I55">
        <v>0.08</v>
      </c>
      <c r="J55" t="s">
        <v>442</v>
      </c>
      <c r="K55" t="s">
        <v>290</v>
      </c>
      <c r="L55" t="s">
        <v>234</v>
      </c>
    </row>
    <row r="56" spans="1:12">
      <c r="A56" t="s">
        <v>64</v>
      </c>
      <c r="B56" t="s">
        <v>170</v>
      </c>
      <c r="C56" t="s">
        <v>224</v>
      </c>
      <c r="D56" t="s">
        <v>233</v>
      </c>
      <c r="E56" s="1">
        <v>44050</v>
      </c>
      <c r="F56" t="s">
        <v>444</v>
      </c>
      <c r="G56">
        <v>15000</v>
      </c>
      <c r="H56">
        <v>0.2</v>
      </c>
      <c r="I56">
        <v>0.08</v>
      </c>
      <c r="J56" t="s">
        <v>389</v>
      </c>
      <c r="K56" t="s">
        <v>291</v>
      </c>
      <c r="L56" t="s">
        <v>234</v>
      </c>
    </row>
    <row r="57" spans="1:12">
      <c r="A57" t="s">
        <v>65</v>
      </c>
      <c r="B57" t="s">
        <v>171</v>
      </c>
      <c r="C57" t="s">
        <v>224</v>
      </c>
      <c r="D57" t="s">
        <v>233</v>
      </c>
      <c r="E57" s="1">
        <v>45777</v>
      </c>
      <c r="F57" t="s">
        <v>444</v>
      </c>
      <c r="G57">
        <v>13000</v>
      </c>
      <c r="H57">
        <v>0.2</v>
      </c>
      <c r="I57">
        <v>0.08</v>
      </c>
      <c r="J57" t="s">
        <v>390</v>
      </c>
      <c r="K57" t="s">
        <v>292</v>
      </c>
      <c r="L57" t="s">
        <v>236</v>
      </c>
    </row>
    <row r="58" spans="1:12">
      <c r="A58" t="s">
        <v>66</v>
      </c>
      <c r="B58" t="s">
        <v>172</v>
      </c>
      <c r="C58" t="s">
        <v>224</v>
      </c>
      <c r="D58" t="s">
        <v>233</v>
      </c>
      <c r="E58" s="1">
        <v>44268</v>
      </c>
      <c r="F58" t="s">
        <v>444</v>
      </c>
      <c r="G58">
        <v>14000</v>
      </c>
      <c r="H58">
        <v>0.2</v>
      </c>
      <c r="I58">
        <v>0.08</v>
      </c>
      <c r="J58" t="s">
        <v>391</v>
      </c>
      <c r="K58" t="s">
        <v>293</v>
      </c>
      <c r="L58" t="s">
        <v>234</v>
      </c>
    </row>
    <row r="59" spans="1:12">
      <c r="A59" t="s">
        <v>67</v>
      </c>
      <c r="B59" t="s">
        <v>173</v>
      </c>
      <c r="C59" t="s">
        <v>224</v>
      </c>
      <c r="D59" t="s">
        <v>233</v>
      </c>
      <c r="E59" s="1">
        <v>45965</v>
      </c>
      <c r="F59" t="s">
        <v>444</v>
      </c>
      <c r="G59">
        <v>16000</v>
      </c>
      <c r="H59">
        <v>0.2</v>
      </c>
      <c r="I59">
        <v>0.08</v>
      </c>
      <c r="J59" t="s">
        <v>392</v>
      </c>
      <c r="K59" t="s">
        <v>294</v>
      </c>
      <c r="L59" t="s">
        <v>234</v>
      </c>
    </row>
    <row r="60" spans="1:12">
      <c r="A60" t="s">
        <v>68</v>
      </c>
      <c r="B60" t="s">
        <v>174</v>
      </c>
      <c r="C60" t="s">
        <v>224</v>
      </c>
      <c r="D60" t="s">
        <v>233</v>
      </c>
      <c r="E60" s="1">
        <v>45675</v>
      </c>
      <c r="F60" t="s">
        <v>444</v>
      </c>
      <c r="G60">
        <v>17000</v>
      </c>
      <c r="H60">
        <v>0.2</v>
      </c>
      <c r="I60">
        <v>0.08</v>
      </c>
      <c r="J60" t="s">
        <v>393</v>
      </c>
      <c r="K60" t="s">
        <v>295</v>
      </c>
      <c r="L60" t="s">
        <v>234</v>
      </c>
    </row>
    <row r="61" spans="1:12">
      <c r="A61" t="s">
        <v>69</v>
      </c>
      <c r="B61" t="s">
        <v>175</v>
      </c>
      <c r="C61" t="s">
        <v>224</v>
      </c>
      <c r="D61" t="s">
        <v>233</v>
      </c>
      <c r="E61" s="1">
        <v>44488</v>
      </c>
      <c r="F61" t="s">
        <v>444</v>
      </c>
      <c r="G61">
        <v>18000</v>
      </c>
      <c r="H61">
        <v>0.2</v>
      </c>
      <c r="I61">
        <v>0.08</v>
      </c>
      <c r="J61" t="s">
        <v>394</v>
      </c>
      <c r="K61" t="s">
        <v>296</v>
      </c>
      <c r="L61" t="s">
        <v>234</v>
      </c>
    </row>
    <row r="62" spans="1:12">
      <c r="A62" t="s">
        <v>70</v>
      </c>
      <c r="B62" t="s">
        <v>176</v>
      </c>
      <c r="C62" t="s">
        <v>224</v>
      </c>
      <c r="D62" t="s">
        <v>233</v>
      </c>
      <c r="E62" s="1">
        <v>43394</v>
      </c>
      <c r="F62" t="s">
        <v>444</v>
      </c>
      <c r="G62">
        <v>17500</v>
      </c>
      <c r="H62">
        <v>0.2</v>
      </c>
      <c r="I62">
        <v>0.08</v>
      </c>
      <c r="J62" t="s">
        <v>395</v>
      </c>
      <c r="K62" t="s">
        <v>297</v>
      </c>
      <c r="L62" t="s">
        <v>234</v>
      </c>
    </row>
    <row r="63" spans="1:12">
      <c r="A63" t="s">
        <v>71</v>
      </c>
      <c r="B63" t="s">
        <v>177</v>
      </c>
      <c r="C63" t="s">
        <v>224</v>
      </c>
      <c r="D63" t="s">
        <v>232</v>
      </c>
      <c r="E63" s="1">
        <v>44817</v>
      </c>
      <c r="F63" t="s">
        <v>444</v>
      </c>
      <c r="G63">
        <v>26000</v>
      </c>
      <c r="H63">
        <v>0.3</v>
      </c>
      <c r="I63">
        <v>0.1</v>
      </c>
      <c r="J63" t="s">
        <v>396</v>
      </c>
      <c r="K63" t="s">
        <v>298</v>
      </c>
      <c r="L63" t="s">
        <v>234</v>
      </c>
    </row>
    <row r="64" spans="1:12">
      <c r="A64" t="s">
        <v>72</v>
      </c>
      <c r="B64" t="s">
        <v>178</v>
      </c>
      <c r="C64" t="s">
        <v>224</v>
      </c>
      <c r="D64" t="s">
        <v>231</v>
      </c>
      <c r="E64" s="1">
        <v>44072</v>
      </c>
      <c r="F64" t="s">
        <v>444</v>
      </c>
      <c r="G64">
        <v>40000</v>
      </c>
      <c r="H64">
        <v>0.35</v>
      </c>
      <c r="I64">
        <v>0.12</v>
      </c>
      <c r="J64" t="s">
        <v>397</v>
      </c>
      <c r="K64" t="s">
        <v>299</v>
      </c>
      <c r="L64" t="s">
        <v>234</v>
      </c>
    </row>
    <row r="65" spans="1:12">
      <c r="A65" t="s">
        <v>73</v>
      </c>
      <c r="B65" t="s">
        <v>179</v>
      </c>
      <c r="C65" t="s">
        <v>224</v>
      </c>
      <c r="D65" t="s">
        <v>233</v>
      </c>
      <c r="E65" s="1">
        <v>43619</v>
      </c>
      <c r="F65" t="s">
        <v>444</v>
      </c>
      <c r="G65">
        <v>15000</v>
      </c>
      <c r="H65">
        <v>0.2</v>
      </c>
      <c r="I65">
        <v>0.08</v>
      </c>
      <c r="J65" t="s">
        <v>398</v>
      </c>
      <c r="K65" t="s">
        <v>300</v>
      </c>
      <c r="L65" t="s">
        <v>234</v>
      </c>
    </row>
    <row r="66" spans="1:12">
      <c r="A66" t="s">
        <v>74</v>
      </c>
      <c r="B66" t="s">
        <v>180</v>
      </c>
      <c r="C66" t="s">
        <v>224</v>
      </c>
      <c r="D66" t="s">
        <v>232</v>
      </c>
      <c r="E66" s="1">
        <v>44420</v>
      </c>
      <c r="F66" t="s">
        <v>445</v>
      </c>
      <c r="G66">
        <v>27000</v>
      </c>
      <c r="H66">
        <v>0.3</v>
      </c>
      <c r="I66">
        <v>0.1</v>
      </c>
      <c r="J66" t="s">
        <v>399</v>
      </c>
      <c r="K66" t="s">
        <v>301</v>
      </c>
      <c r="L66" t="s">
        <v>234</v>
      </c>
    </row>
    <row r="67" spans="1:12">
      <c r="A67" t="s">
        <v>75</v>
      </c>
      <c r="B67" t="s">
        <v>181</v>
      </c>
      <c r="C67" t="s">
        <v>224</v>
      </c>
      <c r="D67" t="s">
        <v>232</v>
      </c>
      <c r="E67" s="1">
        <v>44417</v>
      </c>
      <c r="F67" t="s">
        <v>444</v>
      </c>
      <c r="G67">
        <v>25000</v>
      </c>
      <c r="H67">
        <v>0.3</v>
      </c>
      <c r="I67">
        <v>0.1</v>
      </c>
      <c r="J67" t="s">
        <v>400</v>
      </c>
      <c r="K67" t="s">
        <v>302</v>
      </c>
      <c r="L67" t="s">
        <v>234</v>
      </c>
    </row>
    <row r="68" spans="1:12">
      <c r="A68" t="s">
        <v>76</v>
      </c>
      <c r="B68" t="s">
        <v>182</v>
      </c>
      <c r="C68" t="s">
        <v>224</v>
      </c>
      <c r="D68" t="s">
        <v>230</v>
      </c>
      <c r="E68" s="1">
        <v>43831</v>
      </c>
      <c r="F68" t="s">
        <v>444</v>
      </c>
      <c r="G68">
        <v>58000</v>
      </c>
      <c r="H68">
        <v>0.4</v>
      </c>
      <c r="I68">
        <v>0.15</v>
      </c>
      <c r="J68" t="s">
        <v>401</v>
      </c>
      <c r="K68" t="s">
        <v>303</v>
      </c>
      <c r="L68" t="s">
        <v>234</v>
      </c>
    </row>
    <row r="69" spans="1:12">
      <c r="A69" t="s">
        <v>77</v>
      </c>
      <c r="B69" t="s">
        <v>183</v>
      </c>
      <c r="C69" t="s">
        <v>224</v>
      </c>
      <c r="D69" t="s">
        <v>232</v>
      </c>
      <c r="E69" s="1">
        <v>43571</v>
      </c>
      <c r="F69" t="s">
        <v>444</v>
      </c>
      <c r="G69">
        <v>24000</v>
      </c>
      <c r="H69">
        <v>0.2</v>
      </c>
      <c r="I69">
        <v>0.1</v>
      </c>
      <c r="J69" t="s">
        <v>402</v>
      </c>
      <c r="K69" t="s">
        <v>304</v>
      </c>
      <c r="L69" t="s">
        <v>234</v>
      </c>
    </row>
    <row r="70" spans="1:12">
      <c r="A70" t="s">
        <v>78</v>
      </c>
      <c r="B70" t="s">
        <v>184</v>
      </c>
      <c r="C70" t="s">
        <v>224</v>
      </c>
      <c r="D70" t="s">
        <v>232</v>
      </c>
      <c r="E70" s="1">
        <v>46012</v>
      </c>
      <c r="F70" t="s">
        <v>444</v>
      </c>
      <c r="G70">
        <v>29000</v>
      </c>
      <c r="H70">
        <v>0.2</v>
      </c>
      <c r="I70">
        <v>0.1</v>
      </c>
      <c r="J70" t="s">
        <v>403</v>
      </c>
      <c r="K70" t="s">
        <v>305</v>
      </c>
      <c r="L70" t="s">
        <v>234</v>
      </c>
    </row>
    <row r="71" spans="1:12">
      <c r="A71" t="s">
        <v>79</v>
      </c>
      <c r="B71" t="s">
        <v>185</v>
      </c>
      <c r="C71" t="s">
        <v>224</v>
      </c>
      <c r="D71" t="s">
        <v>231</v>
      </c>
      <c r="E71" s="1">
        <v>43744</v>
      </c>
      <c r="F71" t="s">
        <v>444</v>
      </c>
      <c r="G71">
        <v>37000</v>
      </c>
      <c r="H71">
        <v>0.35</v>
      </c>
      <c r="I71">
        <v>0.12</v>
      </c>
      <c r="J71" t="s">
        <v>404</v>
      </c>
      <c r="K71" t="s">
        <v>306</v>
      </c>
      <c r="L71" t="s">
        <v>234</v>
      </c>
    </row>
    <row r="72" spans="1:12">
      <c r="A72" t="s">
        <v>80</v>
      </c>
      <c r="B72" t="s">
        <v>186</v>
      </c>
      <c r="C72" t="s">
        <v>225</v>
      </c>
      <c r="D72" t="s">
        <v>231</v>
      </c>
      <c r="E72" s="1">
        <v>44684</v>
      </c>
      <c r="F72" t="s">
        <v>444</v>
      </c>
      <c r="G72">
        <v>31000</v>
      </c>
      <c r="H72">
        <v>0.35</v>
      </c>
      <c r="I72">
        <v>0.12</v>
      </c>
      <c r="J72" t="s">
        <v>405</v>
      </c>
      <c r="K72" t="s">
        <v>307</v>
      </c>
      <c r="L72" t="s">
        <v>234</v>
      </c>
    </row>
    <row r="73" spans="1:12">
      <c r="A73" t="s">
        <v>81</v>
      </c>
      <c r="B73" t="s">
        <v>187</v>
      </c>
      <c r="C73" t="s">
        <v>225</v>
      </c>
      <c r="D73" t="s">
        <v>231</v>
      </c>
      <c r="E73" s="1">
        <v>43502</v>
      </c>
      <c r="F73" t="s">
        <v>444</v>
      </c>
      <c r="G73">
        <v>34000</v>
      </c>
      <c r="H73">
        <v>0.35</v>
      </c>
      <c r="I73">
        <v>0.12</v>
      </c>
      <c r="J73" t="s">
        <v>406</v>
      </c>
      <c r="K73" t="s">
        <v>308</v>
      </c>
      <c r="L73" t="s">
        <v>234</v>
      </c>
    </row>
    <row r="74" spans="1:12">
      <c r="A74" t="s">
        <v>82</v>
      </c>
      <c r="B74" t="s">
        <v>188</v>
      </c>
      <c r="C74" t="s">
        <v>225</v>
      </c>
      <c r="D74" t="s">
        <v>233</v>
      </c>
      <c r="E74" s="1">
        <v>45821</v>
      </c>
      <c r="F74" t="s">
        <v>445</v>
      </c>
      <c r="G74">
        <v>12000</v>
      </c>
      <c r="H74">
        <v>0.2</v>
      </c>
      <c r="I74">
        <v>0.08</v>
      </c>
      <c r="J74" t="s">
        <v>407</v>
      </c>
      <c r="K74" t="s">
        <v>309</v>
      </c>
      <c r="L74" t="s">
        <v>234</v>
      </c>
    </row>
    <row r="75" spans="1:12">
      <c r="A75" t="s">
        <v>83</v>
      </c>
      <c r="B75" t="s">
        <v>189</v>
      </c>
      <c r="C75" t="s">
        <v>225</v>
      </c>
      <c r="D75" t="s">
        <v>233</v>
      </c>
      <c r="E75" s="1">
        <v>44000</v>
      </c>
      <c r="F75" t="s">
        <v>445</v>
      </c>
      <c r="G75">
        <v>16000</v>
      </c>
      <c r="H75">
        <v>0.2</v>
      </c>
      <c r="I75">
        <v>0.08</v>
      </c>
      <c r="J75" t="s">
        <v>408</v>
      </c>
      <c r="K75" t="s">
        <v>310</v>
      </c>
      <c r="L75" t="s">
        <v>236</v>
      </c>
    </row>
    <row r="76" spans="1:12">
      <c r="A76" t="s">
        <v>84</v>
      </c>
      <c r="B76" t="s">
        <v>190</v>
      </c>
      <c r="C76" t="s">
        <v>225</v>
      </c>
      <c r="D76" t="s">
        <v>233</v>
      </c>
      <c r="E76" s="1">
        <v>45520</v>
      </c>
      <c r="F76" t="s">
        <v>443</v>
      </c>
      <c r="G76">
        <v>14000</v>
      </c>
      <c r="H76">
        <v>0.2</v>
      </c>
      <c r="I76">
        <v>0.08</v>
      </c>
      <c r="J76" t="s">
        <v>409</v>
      </c>
      <c r="K76" t="s">
        <v>311</v>
      </c>
      <c r="L76" t="s">
        <v>234</v>
      </c>
    </row>
    <row r="77" spans="1:12">
      <c r="A77" t="s">
        <v>85</v>
      </c>
      <c r="B77" t="s">
        <v>191</v>
      </c>
      <c r="C77" t="s">
        <v>225</v>
      </c>
      <c r="D77" t="s">
        <v>233</v>
      </c>
      <c r="E77" s="1">
        <v>43632</v>
      </c>
      <c r="F77" t="s">
        <v>444</v>
      </c>
      <c r="G77">
        <v>15000</v>
      </c>
      <c r="H77">
        <v>0.2</v>
      </c>
      <c r="I77">
        <v>0.08</v>
      </c>
      <c r="J77" t="s">
        <v>410</v>
      </c>
      <c r="K77" t="s">
        <v>312</v>
      </c>
      <c r="L77" t="s">
        <v>234</v>
      </c>
    </row>
    <row r="78" spans="1:12">
      <c r="A78" t="s">
        <v>86</v>
      </c>
      <c r="B78" t="s">
        <v>192</v>
      </c>
      <c r="C78" t="s">
        <v>225</v>
      </c>
      <c r="D78" t="s">
        <v>232</v>
      </c>
      <c r="E78" s="1">
        <v>43933</v>
      </c>
      <c r="F78" t="s">
        <v>444</v>
      </c>
      <c r="G78">
        <v>20000</v>
      </c>
      <c r="H78">
        <v>0.3</v>
      </c>
      <c r="I78">
        <v>0.1</v>
      </c>
      <c r="J78" t="s">
        <v>411</v>
      </c>
      <c r="K78" t="s">
        <v>313</v>
      </c>
      <c r="L78" t="s">
        <v>234</v>
      </c>
    </row>
    <row r="79" spans="1:12">
      <c r="A79" t="s">
        <v>87</v>
      </c>
      <c r="B79" t="s">
        <v>193</v>
      </c>
      <c r="C79" t="s">
        <v>225</v>
      </c>
      <c r="D79" t="s">
        <v>232</v>
      </c>
      <c r="E79" s="1">
        <v>43754</v>
      </c>
      <c r="F79" t="s">
        <v>443</v>
      </c>
      <c r="G79">
        <v>22000</v>
      </c>
      <c r="H79">
        <v>0.3</v>
      </c>
      <c r="I79">
        <v>0.1</v>
      </c>
      <c r="J79" t="s">
        <v>437</v>
      </c>
      <c r="K79" t="s">
        <v>314</v>
      </c>
      <c r="L79" t="s">
        <v>234</v>
      </c>
    </row>
    <row r="80" spans="1:12">
      <c r="A80" t="s">
        <v>88</v>
      </c>
      <c r="B80" t="s">
        <v>194</v>
      </c>
      <c r="C80" t="s">
        <v>225</v>
      </c>
      <c r="D80" t="s">
        <v>232</v>
      </c>
      <c r="E80" s="1">
        <v>44047</v>
      </c>
      <c r="F80" t="s">
        <v>444</v>
      </c>
      <c r="G80">
        <v>24000</v>
      </c>
      <c r="H80">
        <v>0.3</v>
      </c>
      <c r="I80">
        <v>0.1</v>
      </c>
      <c r="J80" t="s">
        <v>412</v>
      </c>
      <c r="K80" t="s">
        <v>315</v>
      </c>
      <c r="L80" t="s">
        <v>234</v>
      </c>
    </row>
    <row r="81" spans="1:12">
      <c r="A81" t="s">
        <v>89</v>
      </c>
      <c r="B81" t="s">
        <v>195</v>
      </c>
      <c r="C81" t="s">
        <v>225</v>
      </c>
      <c r="D81" t="s">
        <v>232</v>
      </c>
      <c r="E81" s="1">
        <v>45799</v>
      </c>
      <c r="F81" t="s">
        <v>444</v>
      </c>
      <c r="G81">
        <v>25000</v>
      </c>
      <c r="H81">
        <v>0.3</v>
      </c>
      <c r="I81">
        <v>0.1</v>
      </c>
      <c r="J81" t="s">
        <v>413</v>
      </c>
      <c r="K81" t="s">
        <v>316</v>
      </c>
      <c r="L81" t="s">
        <v>234</v>
      </c>
    </row>
    <row r="82" spans="1:12">
      <c r="A82" t="s">
        <v>90</v>
      </c>
      <c r="B82" t="s">
        <v>196</v>
      </c>
      <c r="C82" t="s">
        <v>225</v>
      </c>
      <c r="D82" t="s">
        <v>232</v>
      </c>
      <c r="E82" s="1">
        <v>45895</v>
      </c>
      <c r="F82" t="s">
        <v>444</v>
      </c>
      <c r="G82">
        <v>26000</v>
      </c>
      <c r="H82">
        <v>0.3</v>
      </c>
      <c r="I82">
        <v>0.1</v>
      </c>
      <c r="J82" t="s">
        <v>414</v>
      </c>
      <c r="K82" t="s">
        <v>317</v>
      </c>
      <c r="L82" t="s">
        <v>234</v>
      </c>
    </row>
    <row r="83" spans="1:12">
      <c r="A83" t="s">
        <v>91</v>
      </c>
      <c r="B83" t="s">
        <v>197</v>
      </c>
      <c r="C83" t="s">
        <v>225</v>
      </c>
      <c r="D83" t="s">
        <v>232</v>
      </c>
      <c r="E83" s="1">
        <v>45641</v>
      </c>
      <c r="F83" t="s">
        <v>444</v>
      </c>
      <c r="G83">
        <v>24000</v>
      </c>
      <c r="H83">
        <v>0.3</v>
      </c>
      <c r="I83">
        <v>0.1</v>
      </c>
      <c r="J83" t="s">
        <v>415</v>
      </c>
      <c r="K83" t="s">
        <v>318</v>
      </c>
      <c r="L83" t="s">
        <v>234</v>
      </c>
    </row>
    <row r="84" spans="1:12">
      <c r="A84" t="s">
        <v>92</v>
      </c>
      <c r="B84" t="s">
        <v>198</v>
      </c>
      <c r="C84" t="s">
        <v>225</v>
      </c>
      <c r="D84" t="s">
        <v>233</v>
      </c>
      <c r="E84" s="1">
        <v>43693</v>
      </c>
      <c r="F84" t="s">
        <v>443</v>
      </c>
      <c r="G84">
        <v>13000</v>
      </c>
      <c r="H84">
        <v>0.2</v>
      </c>
      <c r="I84">
        <v>0.08</v>
      </c>
      <c r="J84" t="s">
        <v>416</v>
      </c>
      <c r="K84" t="s">
        <v>319</v>
      </c>
      <c r="L84" t="s">
        <v>234</v>
      </c>
    </row>
    <row r="85" spans="1:12">
      <c r="A85" t="s">
        <v>93</v>
      </c>
      <c r="B85" t="s">
        <v>199</v>
      </c>
      <c r="C85" t="s">
        <v>225</v>
      </c>
      <c r="D85" t="s">
        <v>230</v>
      </c>
      <c r="E85" s="1">
        <v>43566</v>
      </c>
      <c r="F85" t="s">
        <v>445</v>
      </c>
      <c r="G85">
        <v>52000</v>
      </c>
      <c r="H85">
        <v>0.4</v>
      </c>
      <c r="I85">
        <v>0.15</v>
      </c>
      <c r="J85" t="s">
        <v>417</v>
      </c>
      <c r="K85" t="s">
        <v>320</v>
      </c>
      <c r="L85" t="s">
        <v>234</v>
      </c>
    </row>
    <row r="86" spans="1:12">
      <c r="A86" t="s">
        <v>94</v>
      </c>
      <c r="B86" t="s">
        <v>200</v>
      </c>
      <c r="C86" t="s">
        <v>225</v>
      </c>
      <c r="D86" t="s">
        <v>233</v>
      </c>
      <c r="E86" s="1">
        <v>43327</v>
      </c>
      <c r="F86" t="s">
        <v>443</v>
      </c>
      <c r="G86">
        <v>14000</v>
      </c>
      <c r="H86">
        <v>0.2</v>
      </c>
      <c r="I86">
        <v>0.08</v>
      </c>
      <c r="J86" t="s">
        <v>418</v>
      </c>
      <c r="K86" t="s">
        <v>321</v>
      </c>
      <c r="L86" t="s">
        <v>236</v>
      </c>
    </row>
    <row r="87" spans="1:12">
      <c r="A87" t="s">
        <v>95</v>
      </c>
      <c r="B87" t="s">
        <v>201</v>
      </c>
      <c r="C87" t="s">
        <v>225</v>
      </c>
      <c r="D87" t="s">
        <v>233</v>
      </c>
      <c r="E87" s="1">
        <v>43261</v>
      </c>
      <c r="F87" t="s">
        <v>443</v>
      </c>
      <c r="G87">
        <v>15000</v>
      </c>
      <c r="H87">
        <v>0.2</v>
      </c>
      <c r="I87">
        <v>0.08</v>
      </c>
      <c r="J87" t="s">
        <v>419</v>
      </c>
      <c r="K87" t="s">
        <v>322</v>
      </c>
      <c r="L87" t="s">
        <v>234</v>
      </c>
    </row>
    <row r="88" spans="1:12">
      <c r="A88" t="s">
        <v>96</v>
      </c>
      <c r="B88" t="s">
        <v>202</v>
      </c>
      <c r="C88" t="s">
        <v>226</v>
      </c>
      <c r="D88" t="s">
        <v>233</v>
      </c>
      <c r="E88" s="1">
        <v>45940</v>
      </c>
      <c r="F88" t="s">
        <v>444</v>
      </c>
      <c r="G88">
        <v>13500</v>
      </c>
      <c r="H88">
        <v>0.2</v>
      </c>
      <c r="I88">
        <v>0.08</v>
      </c>
      <c r="J88" t="s">
        <v>420</v>
      </c>
      <c r="K88" t="s">
        <v>323</v>
      </c>
      <c r="L88" t="s">
        <v>236</v>
      </c>
    </row>
    <row r="89" spans="1:12">
      <c r="A89" t="s">
        <v>97</v>
      </c>
      <c r="B89" t="s">
        <v>203</v>
      </c>
      <c r="C89" t="s">
        <v>226</v>
      </c>
      <c r="D89" t="s">
        <v>233</v>
      </c>
      <c r="E89" s="1">
        <v>43463</v>
      </c>
      <c r="F89" t="s">
        <v>445</v>
      </c>
      <c r="G89">
        <v>13000</v>
      </c>
      <c r="H89">
        <v>0.2</v>
      </c>
      <c r="I89">
        <v>0.08</v>
      </c>
      <c r="J89" t="s">
        <v>421</v>
      </c>
      <c r="K89" t="s">
        <v>324</v>
      </c>
      <c r="L89" t="s">
        <v>234</v>
      </c>
    </row>
    <row r="90" spans="1:12">
      <c r="A90" t="s">
        <v>98</v>
      </c>
      <c r="B90" t="s">
        <v>204</v>
      </c>
      <c r="C90" t="s">
        <v>226</v>
      </c>
      <c r="D90" t="s">
        <v>230</v>
      </c>
      <c r="E90" s="1">
        <v>45605</v>
      </c>
      <c r="F90" t="s">
        <v>444</v>
      </c>
      <c r="G90">
        <v>60000</v>
      </c>
      <c r="H90">
        <v>0.4</v>
      </c>
      <c r="I90">
        <v>0.15</v>
      </c>
      <c r="J90" t="s">
        <v>422</v>
      </c>
      <c r="K90" t="s">
        <v>325</v>
      </c>
      <c r="L90" t="s">
        <v>234</v>
      </c>
    </row>
    <row r="91" spans="1:12">
      <c r="A91" t="s">
        <v>99</v>
      </c>
      <c r="B91" t="s">
        <v>205</v>
      </c>
      <c r="C91" t="s">
        <v>226</v>
      </c>
      <c r="D91" t="s">
        <v>233</v>
      </c>
      <c r="E91" s="1">
        <v>44025</v>
      </c>
      <c r="F91" t="s">
        <v>444</v>
      </c>
      <c r="G91">
        <v>14000</v>
      </c>
      <c r="H91">
        <v>0.2</v>
      </c>
      <c r="I91">
        <v>0.08</v>
      </c>
      <c r="J91" t="s">
        <v>423</v>
      </c>
      <c r="K91" t="s">
        <v>326</v>
      </c>
      <c r="L91" t="s">
        <v>234</v>
      </c>
    </row>
    <row r="92" spans="1:12">
      <c r="A92" t="s">
        <v>100</v>
      </c>
      <c r="B92" t="s">
        <v>206</v>
      </c>
      <c r="C92" t="s">
        <v>226</v>
      </c>
      <c r="D92" t="s">
        <v>232</v>
      </c>
      <c r="E92" s="1">
        <v>45346</v>
      </c>
      <c r="F92" t="s">
        <v>444</v>
      </c>
      <c r="G92">
        <v>29000</v>
      </c>
      <c r="H92">
        <v>0.3</v>
      </c>
      <c r="I92">
        <v>0.1</v>
      </c>
      <c r="J92" t="s">
        <v>424</v>
      </c>
      <c r="K92" t="s">
        <v>327</v>
      </c>
      <c r="L92" t="s">
        <v>234</v>
      </c>
    </row>
    <row r="93" spans="1:12">
      <c r="A93" t="s">
        <v>101</v>
      </c>
      <c r="B93" t="s">
        <v>207</v>
      </c>
      <c r="C93" t="s">
        <v>226</v>
      </c>
      <c r="D93" t="s">
        <v>232</v>
      </c>
      <c r="E93" s="1">
        <v>44076</v>
      </c>
      <c r="F93" t="s">
        <v>444</v>
      </c>
      <c r="G93">
        <v>27000</v>
      </c>
      <c r="H93">
        <v>0.3</v>
      </c>
      <c r="I93">
        <v>0.1</v>
      </c>
      <c r="J93" t="s">
        <v>425</v>
      </c>
      <c r="K93" t="s">
        <v>328</v>
      </c>
      <c r="L93" t="s">
        <v>234</v>
      </c>
    </row>
    <row r="94" spans="1:12">
      <c r="A94" t="s">
        <v>102</v>
      </c>
      <c r="B94" t="s">
        <v>208</v>
      </c>
      <c r="C94" t="s">
        <v>229</v>
      </c>
      <c r="D94" t="s">
        <v>231</v>
      </c>
      <c r="E94" s="1">
        <v>44890</v>
      </c>
      <c r="F94" t="s">
        <v>444</v>
      </c>
      <c r="G94">
        <v>39000</v>
      </c>
      <c r="H94">
        <v>0.35</v>
      </c>
      <c r="I94">
        <v>0.12</v>
      </c>
      <c r="J94" t="s">
        <v>426</v>
      </c>
      <c r="K94" t="s">
        <v>329</v>
      </c>
      <c r="L94" t="s">
        <v>234</v>
      </c>
    </row>
    <row r="95" spans="1:12">
      <c r="A95" t="s">
        <v>103</v>
      </c>
      <c r="B95" t="s">
        <v>209</v>
      </c>
      <c r="C95" t="s">
        <v>229</v>
      </c>
      <c r="D95" t="s">
        <v>233</v>
      </c>
      <c r="E95" s="1">
        <v>44156</v>
      </c>
      <c r="F95" t="s">
        <v>444</v>
      </c>
      <c r="G95">
        <v>15000</v>
      </c>
      <c r="H95">
        <v>0.2</v>
      </c>
      <c r="I95">
        <v>0.08</v>
      </c>
      <c r="J95" t="s">
        <v>427</v>
      </c>
      <c r="K95" t="s">
        <v>330</v>
      </c>
      <c r="L95" t="s">
        <v>234</v>
      </c>
    </row>
    <row r="96" spans="1:12">
      <c r="A96" t="s">
        <v>104</v>
      </c>
      <c r="B96" t="s">
        <v>210</v>
      </c>
      <c r="C96" t="s">
        <v>229</v>
      </c>
      <c r="D96" t="s">
        <v>232</v>
      </c>
      <c r="E96" s="1">
        <v>45978</v>
      </c>
      <c r="F96" t="s">
        <v>444</v>
      </c>
      <c r="G96">
        <v>24000</v>
      </c>
      <c r="H96">
        <v>0.3</v>
      </c>
      <c r="I96">
        <v>0.1</v>
      </c>
      <c r="J96" t="s">
        <v>428</v>
      </c>
      <c r="K96" t="s">
        <v>331</v>
      </c>
      <c r="L96" t="s">
        <v>234</v>
      </c>
    </row>
    <row r="97" spans="1:12">
      <c r="A97" t="s">
        <v>105</v>
      </c>
      <c r="B97" t="s">
        <v>211</v>
      </c>
      <c r="C97" t="s">
        <v>229</v>
      </c>
      <c r="D97" t="s">
        <v>230</v>
      </c>
      <c r="E97" s="1">
        <v>43348</v>
      </c>
      <c r="F97" t="s">
        <v>444</v>
      </c>
      <c r="G97">
        <v>58000</v>
      </c>
      <c r="H97">
        <v>0.4</v>
      </c>
      <c r="I97">
        <v>0.15</v>
      </c>
      <c r="J97" t="s">
        <v>429</v>
      </c>
      <c r="K97" t="s">
        <v>332</v>
      </c>
      <c r="L97" t="s">
        <v>234</v>
      </c>
    </row>
    <row r="98" spans="1:12">
      <c r="A98" t="s">
        <v>106</v>
      </c>
      <c r="B98" t="s">
        <v>212</v>
      </c>
      <c r="C98" t="s">
        <v>229</v>
      </c>
      <c r="D98" t="s">
        <v>232</v>
      </c>
      <c r="E98" s="1">
        <v>44596</v>
      </c>
      <c r="F98" t="s">
        <v>444</v>
      </c>
      <c r="G98">
        <v>26000</v>
      </c>
      <c r="H98">
        <v>0.3</v>
      </c>
      <c r="I98">
        <v>0.1</v>
      </c>
      <c r="J98" t="s">
        <v>430</v>
      </c>
      <c r="K98" t="s">
        <v>333</v>
      </c>
      <c r="L98" t="s">
        <v>234</v>
      </c>
    </row>
    <row r="99" spans="1:12">
      <c r="A99" t="s">
        <v>107</v>
      </c>
      <c r="B99" t="s">
        <v>213</v>
      </c>
      <c r="C99" t="s">
        <v>229</v>
      </c>
      <c r="D99" t="s">
        <v>233</v>
      </c>
      <c r="E99" s="1">
        <v>44853</v>
      </c>
      <c r="F99" t="s">
        <v>444</v>
      </c>
      <c r="G99">
        <v>14000</v>
      </c>
      <c r="H99">
        <v>0.2</v>
      </c>
      <c r="I99">
        <v>0.08</v>
      </c>
      <c r="J99" t="s">
        <v>431</v>
      </c>
      <c r="K99" t="s">
        <v>334</v>
      </c>
      <c r="L99" t="s">
        <v>234</v>
      </c>
    </row>
    <row r="100" spans="1:12">
      <c r="A100" t="s">
        <v>108</v>
      </c>
      <c r="B100" t="s">
        <v>214</v>
      </c>
      <c r="C100" t="s">
        <v>227</v>
      </c>
      <c r="D100" t="s">
        <v>233</v>
      </c>
      <c r="E100" s="1">
        <v>43574</v>
      </c>
      <c r="F100" t="s">
        <v>444</v>
      </c>
      <c r="G100">
        <v>16000</v>
      </c>
      <c r="H100">
        <v>0.2</v>
      </c>
      <c r="I100">
        <v>0.08</v>
      </c>
      <c r="J100" t="s">
        <v>432</v>
      </c>
      <c r="K100" t="s">
        <v>335</v>
      </c>
      <c r="L100" t="s">
        <v>234</v>
      </c>
    </row>
    <row r="101" spans="1:12">
      <c r="A101" t="s">
        <v>109</v>
      </c>
      <c r="B101" t="s">
        <v>215</v>
      </c>
      <c r="C101" t="s">
        <v>227</v>
      </c>
      <c r="D101" t="s">
        <v>231</v>
      </c>
      <c r="E101" s="1">
        <v>45301</v>
      </c>
      <c r="F101" t="s">
        <v>444</v>
      </c>
      <c r="G101">
        <v>40000</v>
      </c>
      <c r="H101">
        <v>0.35</v>
      </c>
      <c r="I101">
        <v>0.12</v>
      </c>
      <c r="J101" t="s">
        <v>433</v>
      </c>
      <c r="K101" t="s">
        <v>336</v>
      </c>
      <c r="L101" t="s">
        <v>234</v>
      </c>
    </row>
    <row r="102" spans="1:12">
      <c r="A102" t="s">
        <v>110</v>
      </c>
      <c r="B102" t="s">
        <v>216</v>
      </c>
      <c r="C102" t="s">
        <v>227</v>
      </c>
      <c r="D102" t="s">
        <v>233</v>
      </c>
      <c r="E102" s="1">
        <v>43666</v>
      </c>
      <c r="F102" t="s">
        <v>445</v>
      </c>
      <c r="G102">
        <v>17000</v>
      </c>
      <c r="H102">
        <v>0.2</v>
      </c>
      <c r="I102">
        <v>0.08</v>
      </c>
      <c r="J102" t="s">
        <v>434</v>
      </c>
      <c r="K102" t="s">
        <v>337</v>
      </c>
      <c r="L102" t="s">
        <v>236</v>
      </c>
    </row>
    <row r="103" spans="1:12">
      <c r="A103" t="s">
        <v>111</v>
      </c>
      <c r="B103" t="s">
        <v>217</v>
      </c>
      <c r="C103" t="s">
        <v>227</v>
      </c>
      <c r="D103" t="s">
        <v>233</v>
      </c>
      <c r="E103" s="1">
        <v>44332</v>
      </c>
      <c r="F103" t="s">
        <v>444</v>
      </c>
      <c r="G103">
        <v>15000</v>
      </c>
      <c r="H103">
        <v>0.2</v>
      </c>
      <c r="I103">
        <v>0.08</v>
      </c>
      <c r="J103" t="s">
        <v>435</v>
      </c>
      <c r="K103" t="s">
        <v>338</v>
      </c>
      <c r="L103" t="s">
        <v>234</v>
      </c>
    </row>
    <row r="104" spans="1:12">
      <c r="A104" t="s">
        <v>112</v>
      </c>
      <c r="B104" t="s">
        <v>218</v>
      </c>
      <c r="C104" t="s">
        <v>227</v>
      </c>
      <c r="D104" t="s">
        <v>232</v>
      </c>
      <c r="E104" s="1">
        <v>43305</v>
      </c>
      <c r="F104" t="s">
        <v>444</v>
      </c>
      <c r="G104">
        <v>25000</v>
      </c>
      <c r="H104">
        <v>0.3</v>
      </c>
      <c r="I104">
        <v>0.1</v>
      </c>
      <c r="J104" t="s">
        <v>436</v>
      </c>
      <c r="K104" t="s">
        <v>339</v>
      </c>
      <c r="L104" t="s">
        <v>234</v>
      </c>
    </row>
    <row r="105" spans="1:12">
      <c r="A105" t="s">
        <v>113</v>
      </c>
      <c r="B105" t="s">
        <v>219</v>
      </c>
      <c r="C105" t="s">
        <v>227</v>
      </c>
      <c r="D105" t="s">
        <v>230</v>
      </c>
      <c r="E105" s="1">
        <v>43269</v>
      </c>
      <c r="F105" t="s">
        <v>444</v>
      </c>
      <c r="G105">
        <v>56000</v>
      </c>
      <c r="H105">
        <v>0.4</v>
      </c>
      <c r="I105">
        <v>0.15</v>
      </c>
      <c r="J105" t="s">
        <v>438</v>
      </c>
      <c r="K105" t="s">
        <v>340</v>
      </c>
      <c r="L105" t="s">
        <v>234</v>
      </c>
    </row>
    <row r="106" spans="1:12">
      <c r="A106" t="s">
        <v>114</v>
      </c>
      <c r="B106" t="s">
        <v>220</v>
      </c>
      <c r="C106" t="s">
        <v>227</v>
      </c>
      <c r="D106" t="s">
        <v>231</v>
      </c>
      <c r="E106" s="1">
        <v>44686</v>
      </c>
      <c r="F106" t="s">
        <v>444</v>
      </c>
      <c r="G106">
        <v>42000</v>
      </c>
      <c r="H106">
        <v>0.35</v>
      </c>
      <c r="I106">
        <v>0.12</v>
      </c>
      <c r="J106" t="s">
        <v>439</v>
      </c>
      <c r="L106" t="s">
        <v>234</v>
      </c>
    </row>
    <row r="107" spans="1:12">
      <c r="A107" t="s">
        <v>115</v>
      </c>
      <c r="B107" t="s">
        <v>221</v>
      </c>
      <c r="C107" t="s">
        <v>227</v>
      </c>
      <c r="D107" t="s">
        <v>232</v>
      </c>
      <c r="E107" s="1">
        <v>45253</v>
      </c>
      <c r="F107" t="s">
        <v>444</v>
      </c>
      <c r="G107">
        <v>26000</v>
      </c>
      <c r="H107">
        <v>0.3</v>
      </c>
      <c r="I107">
        <v>0.1</v>
      </c>
      <c r="J107" t="s">
        <v>440</v>
      </c>
      <c r="L107" t="s">
        <v>234</v>
      </c>
    </row>
  </sheetData>
  <phoneticPr fontId="1" type="noConversion"/>
  <dataValidations count="6">
    <dataValidation type="list" allowBlank="1" showInputMessage="1" showErrorMessage="1" sqref="C108:D240" xr:uid="{62514995-830D-4730-B19D-7033B5DA9B72}">
      <formula1>"Production,HR,Finance,Admin,Sales,Logistics"</formula1>
    </dataValidation>
    <dataValidation type="list" allowBlank="1" showInputMessage="1" showErrorMessage="1" sqref="F2:F240" xr:uid="{50134C07-11D7-4833-99A0-9A6F133DF328}">
      <formula1>"Full-Time,Part-Time,Contract"</formula1>
    </dataValidation>
    <dataValidation type="list" allowBlank="1" showInputMessage="1" showErrorMessage="1" sqref="L2:L240" xr:uid="{C6DE1DE6-DE03-4CDE-A290-71626FB66E14}">
      <formula1>"Active,Resigned,On Leave"</formula1>
    </dataValidation>
    <dataValidation type="list" allowBlank="1" showInputMessage="1" showErrorMessage="1" sqref="C2:C89 C100:C107" xr:uid="{C4D712B6-1CB6-41C2-9C42-97AEC09BC61C}">
      <formula1>"Operations, Marketing, Accounts, IT, Warehouse, Support"</formula1>
    </dataValidation>
    <dataValidation type="list" allowBlank="1" showInputMessage="1" showErrorMessage="1" sqref="D2:D107" xr:uid="{C03DA87C-4261-4D9F-90DA-297221AA70F4}">
      <formula1>"Manager,Senior Executive,Executive,Associate / Operator"</formula1>
    </dataValidation>
    <dataValidation type="list" allowBlank="1" showInputMessage="1" showErrorMessage="1" sqref="C90:C99" xr:uid="{8FCF451F-37FF-4B8F-BB3B-61D8C8B63C16}">
      <formula1>"Operations, Marketing, Accounts, IT, Warehouse, Support,HR"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8B9A-588F-4F3E-BFAA-C804CE3A835A}">
  <dimension ref="A1:AP117"/>
  <sheetViews>
    <sheetView topLeftCell="AI1" workbookViewId="0">
      <selection activeCell="AP2" sqref="AP2"/>
    </sheetView>
  </sheetViews>
  <sheetFormatPr defaultRowHeight="15"/>
  <cols>
    <col min="1" max="1" width="11.7109375" bestFit="1" customWidth="1"/>
    <col min="2" max="2" width="17.28515625" bestFit="1" customWidth="1"/>
    <col min="3" max="3" width="14.42578125" bestFit="1" customWidth="1"/>
    <col min="4" max="17" width="11.5703125" bestFit="1" customWidth="1"/>
    <col min="18" max="18" width="12.7109375" bestFit="1" customWidth="1"/>
    <col min="19" max="31" width="11.5703125" bestFit="1" customWidth="1"/>
    <col min="32" max="32" width="12.7109375" bestFit="1" customWidth="1"/>
    <col min="33" max="34" width="11.5703125" bestFit="1" customWidth="1"/>
    <col min="35" max="35" width="15" bestFit="1" customWidth="1"/>
    <col min="36" max="36" width="14.42578125" bestFit="1" customWidth="1"/>
    <col min="37" max="37" width="18.5703125" bestFit="1" customWidth="1"/>
    <col min="38" max="38" width="16.140625" bestFit="1" customWidth="1"/>
    <col min="39" max="39" width="18.85546875" bestFit="1" customWidth="1"/>
    <col min="40" max="40" width="12.85546875" bestFit="1" customWidth="1"/>
    <col min="41" max="41" width="15.5703125" bestFit="1" customWidth="1"/>
    <col min="42" max="42" width="15.7109375" bestFit="1" customWidth="1"/>
  </cols>
  <sheetData>
    <row r="1" spans="1:42">
      <c r="A1" s="2" t="s">
        <v>0</v>
      </c>
      <c r="B1" s="2" t="s">
        <v>446</v>
      </c>
      <c r="C1" s="2" t="s">
        <v>1</v>
      </c>
      <c r="D1" s="3" t="s">
        <v>456</v>
      </c>
      <c r="E1" s="4" t="s">
        <v>457</v>
      </c>
      <c r="F1" s="4" t="s">
        <v>458</v>
      </c>
      <c r="G1" s="4" t="s">
        <v>459</v>
      </c>
      <c r="H1" s="6" t="s">
        <v>460</v>
      </c>
      <c r="I1" s="4" t="s">
        <v>461</v>
      </c>
      <c r="J1" s="4" t="s">
        <v>462</v>
      </c>
      <c r="K1" s="4" t="s">
        <v>463</v>
      </c>
      <c r="L1" s="4" t="s">
        <v>464</v>
      </c>
      <c r="M1" s="4" t="s">
        <v>469</v>
      </c>
      <c r="N1" s="4" t="s">
        <v>468</v>
      </c>
      <c r="O1" s="6" t="s">
        <v>467</v>
      </c>
      <c r="P1" s="4" t="s">
        <v>466</v>
      </c>
      <c r="Q1" s="4" t="s">
        <v>465</v>
      </c>
      <c r="R1" s="3" t="s">
        <v>470</v>
      </c>
      <c r="S1" s="4" t="s">
        <v>474</v>
      </c>
      <c r="T1" s="4" t="s">
        <v>475</v>
      </c>
      <c r="U1" s="4" t="s">
        <v>476</v>
      </c>
      <c r="V1" s="6" t="s">
        <v>477</v>
      </c>
      <c r="W1" s="4" t="s">
        <v>478</v>
      </c>
      <c r="X1" s="4" t="s">
        <v>479</v>
      </c>
      <c r="Y1" s="4" t="s">
        <v>480</v>
      </c>
      <c r="Z1" s="4" t="s">
        <v>481</v>
      </c>
      <c r="AA1" s="4" t="s">
        <v>482</v>
      </c>
      <c r="AB1" s="4" t="s">
        <v>483</v>
      </c>
      <c r="AC1" s="6" t="s">
        <v>484</v>
      </c>
      <c r="AD1" s="4" t="s">
        <v>485</v>
      </c>
      <c r="AE1" s="4" t="s">
        <v>486</v>
      </c>
      <c r="AF1" s="3" t="s">
        <v>473</v>
      </c>
      <c r="AG1" s="4" t="s">
        <v>472</v>
      </c>
      <c r="AH1" s="4" t="s">
        <v>471</v>
      </c>
      <c r="AI1" s="5" t="s">
        <v>447</v>
      </c>
      <c r="AJ1" s="5" t="s">
        <v>448</v>
      </c>
      <c r="AK1" s="5" t="s">
        <v>449</v>
      </c>
      <c r="AL1" s="5" t="s">
        <v>450</v>
      </c>
      <c r="AM1" s="5" t="s">
        <v>451</v>
      </c>
      <c r="AN1" s="5" t="s">
        <v>452</v>
      </c>
      <c r="AO1" s="5" t="s">
        <v>453</v>
      </c>
      <c r="AP1" s="5" t="s">
        <v>454</v>
      </c>
    </row>
    <row r="2" spans="1:42">
      <c r="A2" t="s">
        <v>10</v>
      </c>
      <c r="B2" t="str">
        <f>_xlfn.XLOOKUP(A2,Table1[Emp_ID],Table1[Full_Name ])</f>
        <v>Aarav</v>
      </c>
      <c r="C2" t="str">
        <f>_xlfn.XLOOKUP(A2,Table1[Emp_ID],Table1[Department])</f>
        <v>Operations</v>
      </c>
      <c r="D2" s="9" t="s">
        <v>487</v>
      </c>
      <c r="E2" s="9" t="s">
        <v>487</v>
      </c>
      <c r="F2" s="9" t="s">
        <v>487</v>
      </c>
      <c r="G2" s="9" t="s">
        <v>487</v>
      </c>
      <c r="H2" s="9" t="s">
        <v>488</v>
      </c>
      <c r="I2" s="9" t="s">
        <v>487</v>
      </c>
      <c r="J2" s="9" t="s">
        <v>487</v>
      </c>
      <c r="K2" s="9" t="s">
        <v>487</v>
      </c>
      <c r="L2" s="9" t="s">
        <v>487</v>
      </c>
      <c r="M2" s="9" t="s">
        <v>490</v>
      </c>
      <c r="N2" s="9" t="s">
        <v>487</v>
      </c>
      <c r="O2" s="9" t="s">
        <v>488</v>
      </c>
      <c r="P2" s="9" t="s">
        <v>488</v>
      </c>
      <c r="Q2" s="9" t="s">
        <v>487</v>
      </c>
      <c r="R2" s="9" t="s">
        <v>487</v>
      </c>
      <c r="S2" s="9" t="s">
        <v>487</v>
      </c>
      <c r="T2" s="9" t="s">
        <v>487</v>
      </c>
      <c r="U2" s="9" t="s">
        <v>487</v>
      </c>
      <c r="V2" s="9" t="s">
        <v>488</v>
      </c>
      <c r="W2" s="9" t="s">
        <v>487</v>
      </c>
      <c r="X2" s="9" t="s">
        <v>487</v>
      </c>
      <c r="Y2" s="9" t="s">
        <v>487</v>
      </c>
      <c r="Z2" s="9" t="s">
        <v>487</v>
      </c>
      <c r="AA2" s="9" t="s">
        <v>487</v>
      </c>
      <c r="AB2" s="9" t="s">
        <v>487</v>
      </c>
      <c r="AC2" s="9" t="s">
        <v>488</v>
      </c>
      <c r="AD2" s="9" t="s">
        <v>487</v>
      </c>
      <c r="AE2" s="9" t="s">
        <v>487</v>
      </c>
      <c r="AF2" s="9" t="s">
        <v>487</v>
      </c>
      <c r="AG2" s="9" t="s">
        <v>491</v>
      </c>
      <c r="AH2" s="9" t="s">
        <v>491</v>
      </c>
      <c r="AI2">
        <f t="shared" ref="AI2:AI33" si="0">COUNTIF(D2:AH2,"P")</f>
        <v>23</v>
      </c>
      <c r="AJ2">
        <f t="shared" ref="AJ2:AJ33" si="1">COUNTIF(D2:AH2,"A")</f>
        <v>1</v>
      </c>
      <c r="AK2">
        <f t="shared" ref="AK2:AK33" si="2">COUNTIF(D2:AH2,"CL")</f>
        <v>0</v>
      </c>
      <c r="AL2">
        <f t="shared" ref="AL2:AL33" si="3">COUNTIF(D2:AH2,"SL")</f>
        <v>2</v>
      </c>
      <c r="AM2">
        <f t="shared" ref="AM2:AM33" si="4">COUNTIF(D2:AH2,"EL")</f>
        <v>0</v>
      </c>
      <c r="AN2">
        <f t="shared" ref="AN2:AN33" si="5">COUNTIF(D2:AH2,"L")</f>
        <v>0</v>
      </c>
      <c r="AO2">
        <f t="shared" ref="AO2:AO33" si="6">COUNTIF(D2:AH2,"P")+COUNTIF(D2:AH2,"CL")+COUNTIF(D2:AH2,"SL")+COUNTIF(D2:AH2,"EL")</f>
        <v>25</v>
      </c>
      <c r="AP2" s="66">
        <f t="shared" ref="AP2:AP65" si="7">AO2/26*100</f>
        <v>96.15384615384616</v>
      </c>
    </row>
    <row r="3" spans="1:42">
      <c r="A3" t="s">
        <v>455</v>
      </c>
      <c r="B3" t="str">
        <f>_xlfn.XLOOKUP(A3,Table1[Emp_ID],Table1[Full_Name ])</f>
        <v>Vivaan</v>
      </c>
      <c r="C3" t="str">
        <f>_xlfn.XLOOKUP(A3,Table1[Emp_ID],Table1[Department])</f>
        <v>Operations</v>
      </c>
      <c r="D3" s="9" t="s">
        <v>487</v>
      </c>
      <c r="E3" s="9" t="s">
        <v>490</v>
      </c>
      <c r="F3" s="9" t="s">
        <v>487</v>
      </c>
      <c r="G3" s="9" t="s">
        <v>487</v>
      </c>
      <c r="H3" s="9" t="s">
        <v>488</v>
      </c>
      <c r="I3" s="9" t="s">
        <v>487</v>
      </c>
      <c r="J3" s="9" t="s">
        <v>487</v>
      </c>
      <c r="K3" s="9" t="s">
        <v>487</v>
      </c>
      <c r="L3" s="9" t="s">
        <v>487</v>
      </c>
      <c r="M3" s="9" t="s">
        <v>487</v>
      </c>
      <c r="N3" s="9" t="s">
        <v>487</v>
      </c>
      <c r="O3" s="9" t="s">
        <v>488</v>
      </c>
      <c r="P3" s="9" t="s">
        <v>488</v>
      </c>
      <c r="Q3" s="9" t="s">
        <v>487</v>
      </c>
      <c r="R3" s="9" t="s">
        <v>487</v>
      </c>
      <c r="S3" s="9" t="s">
        <v>487</v>
      </c>
      <c r="T3" s="9" t="s">
        <v>487</v>
      </c>
      <c r="U3" s="9" t="s">
        <v>487</v>
      </c>
      <c r="V3" s="9" t="s">
        <v>488</v>
      </c>
      <c r="W3" s="9" t="s">
        <v>487</v>
      </c>
      <c r="X3" s="9" t="s">
        <v>487</v>
      </c>
      <c r="Y3" s="9" t="s">
        <v>487</v>
      </c>
      <c r="Z3" s="9" t="s">
        <v>487</v>
      </c>
      <c r="AA3" s="9" t="s">
        <v>487</v>
      </c>
      <c r="AB3" s="9" t="s">
        <v>487</v>
      </c>
      <c r="AC3" s="9" t="s">
        <v>488</v>
      </c>
      <c r="AD3" s="9" t="s">
        <v>487</v>
      </c>
      <c r="AE3" s="9" t="s">
        <v>487</v>
      </c>
      <c r="AF3" s="9" t="s">
        <v>487</v>
      </c>
      <c r="AG3" s="9" t="s">
        <v>487</v>
      </c>
      <c r="AH3" s="9" t="s">
        <v>487</v>
      </c>
      <c r="AI3">
        <f t="shared" si="0"/>
        <v>25</v>
      </c>
      <c r="AJ3">
        <f t="shared" si="1"/>
        <v>1</v>
      </c>
      <c r="AK3">
        <f t="shared" si="2"/>
        <v>0</v>
      </c>
      <c r="AL3">
        <f t="shared" si="3"/>
        <v>0</v>
      </c>
      <c r="AM3">
        <f t="shared" si="4"/>
        <v>0</v>
      </c>
      <c r="AN3">
        <f t="shared" si="5"/>
        <v>0</v>
      </c>
      <c r="AO3">
        <f t="shared" si="6"/>
        <v>25</v>
      </c>
      <c r="AP3" s="66">
        <f t="shared" si="7"/>
        <v>96.15384615384616</v>
      </c>
    </row>
    <row r="4" spans="1:42">
      <c r="A4" t="s">
        <v>12</v>
      </c>
      <c r="B4" t="str">
        <f>_xlfn.XLOOKUP(A4,Table1[Emp_ID],Table1[Full_Name ])</f>
        <v>Aditya</v>
      </c>
      <c r="C4" t="str">
        <f>_xlfn.XLOOKUP(A4,Table1[Emp_ID],Table1[Department])</f>
        <v>Operations</v>
      </c>
      <c r="D4" s="9" t="s">
        <v>487</v>
      </c>
      <c r="E4" s="9" t="s">
        <v>487</v>
      </c>
      <c r="F4" s="9" t="s">
        <v>487</v>
      </c>
      <c r="G4" s="9" t="s">
        <v>487</v>
      </c>
      <c r="H4" s="9" t="s">
        <v>488</v>
      </c>
      <c r="I4" s="9" t="s">
        <v>487</v>
      </c>
      <c r="J4" s="9" t="s">
        <v>487</v>
      </c>
      <c r="K4" s="9" t="s">
        <v>492</v>
      </c>
      <c r="L4" s="9" t="s">
        <v>487</v>
      </c>
      <c r="M4" s="9" t="s">
        <v>487</v>
      </c>
      <c r="N4" s="9" t="s">
        <v>487</v>
      </c>
      <c r="O4" s="9" t="s">
        <v>488</v>
      </c>
      <c r="P4" s="9" t="s">
        <v>488</v>
      </c>
      <c r="Q4" s="9" t="s">
        <v>487</v>
      </c>
      <c r="R4" s="9" t="s">
        <v>487</v>
      </c>
      <c r="S4" s="9" t="s">
        <v>487</v>
      </c>
      <c r="T4" s="9" t="s">
        <v>487</v>
      </c>
      <c r="U4" s="9" t="s">
        <v>487</v>
      </c>
      <c r="V4" s="9" t="s">
        <v>488</v>
      </c>
      <c r="W4" s="9" t="s">
        <v>487</v>
      </c>
      <c r="X4" s="9" t="s">
        <v>487</v>
      </c>
      <c r="Y4" s="9" t="s">
        <v>487</v>
      </c>
      <c r="Z4" s="9" t="s">
        <v>487</v>
      </c>
      <c r="AA4" s="9" t="s">
        <v>487</v>
      </c>
      <c r="AB4" s="9" t="s">
        <v>487</v>
      </c>
      <c r="AC4" s="9" t="s">
        <v>488</v>
      </c>
      <c r="AD4" s="9" t="s">
        <v>487</v>
      </c>
      <c r="AE4" s="9" t="s">
        <v>487</v>
      </c>
      <c r="AF4" s="9" t="s">
        <v>487</v>
      </c>
      <c r="AG4" s="9" t="s">
        <v>487</v>
      </c>
      <c r="AH4" s="9" t="s">
        <v>487</v>
      </c>
      <c r="AI4">
        <f t="shared" si="0"/>
        <v>25</v>
      </c>
      <c r="AJ4">
        <f t="shared" si="1"/>
        <v>0</v>
      </c>
      <c r="AK4">
        <f t="shared" si="2"/>
        <v>0</v>
      </c>
      <c r="AL4">
        <f t="shared" si="3"/>
        <v>0</v>
      </c>
      <c r="AM4">
        <f t="shared" si="4"/>
        <v>0</v>
      </c>
      <c r="AN4">
        <f t="shared" si="5"/>
        <v>1</v>
      </c>
      <c r="AO4">
        <f t="shared" si="6"/>
        <v>25</v>
      </c>
      <c r="AP4" s="66">
        <f t="shared" si="7"/>
        <v>96.15384615384616</v>
      </c>
    </row>
    <row r="5" spans="1:42">
      <c r="A5" t="s">
        <v>13</v>
      </c>
      <c r="B5" t="str">
        <f>_xlfn.XLOOKUP(A5,Table1[Emp_ID],Table1[Full_Name ])</f>
        <v>Arjun</v>
      </c>
      <c r="C5" t="str">
        <f>_xlfn.XLOOKUP(A5,Table1[Emp_ID],Table1[Department])</f>
        <v>Operations</v>
      </c>
      <c r="D5" s="9" t="s">
        <v>487</v>
      </c>
      <c r="E5" s="9" t="s">
        <v>487</v>
      </c>
      <c r="F5" s="9" t="s">
        <v>487</v>
      </c>
      <c r="G5" s="9" t="s">
        <v>490</v>
      </c>
      <c r="H5" s="9" t="s">
        <v>488</v>
      </c>
      <c r="I5" s="9" t="s">
        <v>487</v>
      </c>
      <c r="J5" s="9" t="s">
        <v>487</v>
      </c>
      <c r="K5" s="9" t="s">
        <v>487</v>
      </c>
      <c r="L5" s="9" t="s">
        <v>487</v>
      </c>
      <c r="M5" s="9" t="s">
        <v>487</v>
      </c>
      <c r="N5" s="9" t="s">
        <v>487</v>
      </c>
      <c r="O5" s="9" t="s">
        <v>488</v>
      </c>
      <c r="P5" s="9" t="s">
        <v>488</v>
      </c>
      <c r="Q5" s="9" t="s">
        <v>487</v>
      </c>
      <c r="R5" s="9" t="s">
        <v>487</v>
      </c>
      <c r="S5" s="9" t="s">
        <v>487</v>
      </c>
      <c r="T5" s="9" t="s">
        <v>487</v>
      </c>
      <c r="U5" s="9" t="s">
        <v>487</v>
      </c>
      <c r="V5" s="9" t="s">
        <v>488</v>
      </c>
      <c r="W5" s="9" t="s">
        <v>487</v>
      </c>
      <c r="X5" s="9" t="s">
        <v>487</v>
      </c>
      <c r="Y5" s="9" t="s">
        <v>487</v>
      </c>
      <c r="Z5" s="9" t="s">
        <v>487</v>
      </c>
      <c r="AA5" s="9" t="s">
        <v>487</v>
      </c>
      <c r="AB5" s="9" t="s">
        <v>487</v>
      </c>
      <c r="AC5" s="9" t="s">
        <v>488</v>
      </c>
      <c r="AD5" s="9" t="s">
        <v>487</v>
      </c>
      <c r="AE5" s="9" t="s">
        <v>487</v>
      </c>
      <c r="AF5" s="9" t="s">
        <v>487</v>
      </c>
      <c r="AG5" s="9" t="s">
        <v>487</v>
      </c>
      <c r="AH5" s="9" t="s">
        <v>487</v>
      </c>
      <c r="AI5">
        <f t="shared" si="0"/>
        <v>25</v>
      </c>
      <c r="AJ5">
        <f t="shared" si="1"/>
        <v>1</v>
      </c>
      <c r="AK5">
        <f t="shared" si="2"/>
        <v>0</v>
      </c>
      <c r="AL5">
        <f t="shared" si="3"/>
        <v>0</v>
      </c>
      <c r="AM5">
        <f t="shared" si="4"/>
        <v>0</v>
      </c>
      <c r="AN5">
        <f t="shared" si="5"/>
        <v>0</v>
      </c>
      <c r="AO5">
        <f t="shared" si="6"/>
        <v>25</v>
      </c>
      <c r="AP5" s="66">
        <f t="shared" si="7"/>
        <v>96.15384615384616</v>
      </c>
    </row>
    <row r="6" spans="1:42">
      <c r="A6" t="s">
        <v>14</v>
      </c>
      <c r="B6" t="str">
        <f>_xlfn.XLOOKUP(A6,Table1[Emp_ID],Table1[Full_Name ])</f>
        <v>Reyansh</v>
      </c>
      <c r="C6" t="str">
        <f>_xlfn.XLOOKUP(A6,Table1[Emp_ID],Table1[Department])</f>
        <v>Operations</v>
      </c>
      <c r="D6" s="9" t="s">
        <v>487</v>
      </c>
      <c r="E6" s="9" t="s">
        <v>487</v>
      </c>
      <c r="F6" s="9" t="s">
        <v>487</v>
      </c>
      <c r="G6" s="9" t="s">
        <v>487</v>
      </c>
      <c r="H6" s="9" t="s">
        <v>488</v>
      </c>
      <c r="I6" s="9" t="s">
        <v>487</v>
      </c>
      <c r="J6" s="9" t="s">
        <v>487</v>
      </c>
      <c r="K6" s="9" t="s">
        <v>487</v>
      </c>
      <c r="L6" s="9" t="s">
        <v>490</v>
      </c>
      <c r="M6" s="9" t="s">
        <v>487</v>
      </c>
      <c r="N6" s="9" t="s">
        <v>487</v>
      </c>
      <c r="O6" s="9" t="s">
        <v>488</v>
      </c>
      <c r="P6" s="9" t="s">
        <v>488</v>
      </c>
      <c r="Q6" s="9" t="s">
        <v>487</v>
      </c>
      <c r="R6" s="9" t="s">
        <v>487</v>
      </c>
      <c r="S6" s="9" t="s">
        <v>487</v>
      </c>
      <c r="T6" s="9" t="s">
        <v>487</v>
      </c>
      <c r="U6" s="9" t="s">
        <v>487</v>
      </c>
      <c r="V6" s="9" t="s">
        <v>488</v>
      </c>
      <c r="W6" s="9" t="s">
        <v>487</v>
      </c>
      <c r="X6" s="9" t="s">
        <v>493</v>
      </c>
      <c r="Y6" s="9" t="s">
        <v>493</v>
      </c>
      <c r="Z6" s="9" t="s">
        <v>493</v>
      </c>
      <c r="AA6" s="9" t="s">
        <v>493</v>
      </c>
      <c r="AB6" s="9" t="s">
        <v>487</v>
      </c>
      <c r="AC6" s="9" t="s">
        <v>488</v>
      </c>
      <c r="AD6" s="9" t="s">
        <v>487</v>
      </c>
      <c r="AE6" s="9" t="s">
        <v>487</v>
      </c>
      <c r="AF6" s="9" t="s">
        <v>487</v>
      </c>
      <c r="AG6" s="9" t="s">
        <v>487</v>
      </c>
      <c r="AH6" s="9" t="s">
        <v>487</v>
      </c>
      <c r="AI6">
        <f t="shared" si="0"/>
        <v>21</v>
      </c>
      <c r="AJ6">
        <f t="shared" si="1"/>
        <v>1</v>
      </c>
      <c r="AK6">
        <f t="shared" si="2"/>
        <v>0</v>
      </c>
      <c r="AL6">
        <f t="shared" si="3"/>
        <v>0</v>
      </c>
      <c r="AM6">
        <f t="shared" si="4"/>
        <v>4</v>
      </c>
      <c r="AN6">
        <f t="shared" si="5"/>
        <v>0</v>
      </c>
      <c r="AO6">
        <f t="shared" si="6"/>
        <v>25</v>
      </c>
      <c r="AP6" s="66">
        <f t="shared" si="7"/>
        <v>96.15384615384616</v>
      </c>
    </row>
    <row r="7" spans="1:42">
      <c r="A7" t="s">
        <v>15</v>
      </c>
      <c r="B7" t="str">
        <f>_xlfn.XLOOKUP(A7,Table1[Emp_ID],Table1[Full_Name ])</f>
        <v>Muhammad</v>
      </c>
      <c r="C7" t="str">
        <f>_xlfn.XLOOKUP(A7,Table1[Emp_ID],Table1[Department])</f>
        <v>Operations</v>
      </c>
      <c r="D7" s="9" t="s">
        <v>487</v>
      </c>
      <c r="E7" s="9" t="s">
        <v>487</v>
      </c>
      <c r="F7" s="9" t="s">
        <v>487</v>
      </c>
      <c r="G7" s="9" t="s">
        <v>487</v>
      </c>
      <c r="H7" s="9" t="s">
        <v>488</v>
      </c>
      <c r="I7" s="9" t="s">
        <v>487</v>
      </c>
      <c r="J7" s="9" t="s">
        <v>487</v>
      </c>
      <c r="K7" s="9" t="s">
        <v>487</v>
      </c>
      <c r="L7" s="9" t="s">
        <v>487</v>
      </c>
      <c r="M7" s="9" t="s">
        <v>487</v>
      </c>
      <c r="N7" s="9" t="s">
        <v>487</v>
      </c>
      <c r="O7" s="9" t="s">
        <v>488</v>
      </c>
      <c r="P7" s="9" t="s">
        <v>488</v>
      </c>
      <c r="Q7" s="9" t="s">
        <v>487</v>
      </c>
      <c r="R7" s="9" t="s">
        <v>487</v>
      </c>
      <c r="S7" s="9" t="s">
        <v>487</v>
      </c>
      <c r="T7" s="9" t="s">
        <v>487</v>
      </c>
      <c r="U7" s="9" t="s">
        <v>487</v>
      </c>
      <c r="V7" s="9" t="s">
        <v>488</v>
      </c>
      <c r="W7" s="9" t="s">
        <v>487</v>
      </c>
      <c r="X7" s="9" t="s">
        <v>487</v>
      </c>
      <c r="Y7" s="9" t="s">
        <v>487</v>
      </c>
      <c r="Z7" s="9" t="s">
        <v>487</v>
      </c>
      <c r="AA7" s="9" t="s">
        <v>487</v>
      </c>
      <c r="AB7" s="9" t="s">
        <v>487</v>
      </c>
      <c r="AC7" s="9" t="s">
        <v>488</v>
      </c>
      <c r="AD7" s="9" t="s">
        <v>487</v>
      </c>
      <c r="AE7" s="9" t="s">
        <v>487</v>
      </c>
      <c r="AF7" s="9" t="s">
        <v>487</v>
      </c>
      <c r="AG7" s="9" t="s">
        <v>487</v>
      </c>
      <c r="AH7" s="9" t="s">
        <v>487</v>
      </c>
      <c r="AI7">
        <f t="shared" si="0"/>
        <v>26</v>
      </c>
      <c r="AJ7">
        <f t="shared" si="1"/>
        <v>0</v>
      </c>
      <c r="AK7">
        <f t="shared" si="2"/>
        <v>0</v>
      </c>
      <c r="AL7">
        <f t="shared" si="3"/>
        <v>0</v>
      </c>
      <c r="AM7">
        <f t="shared" si="4"/>
        <v>0</v>
      </c>
      <c r="AN7">
        <f t="shared" si="5"/>
        <v>0</v>
      </c>
      <c r="AO7">
        <f t="shared" si="6"/>
        <v>26</v>
      </c>
      <c r="AP7" s="66">
        <f t="shared" si="7"/>
        <v>100</v>
      </c>
    </row>
    <row r="8" spans="1:42">
      <c r="A8" t="s">
        <v>16</v>
      </c>
      <c r="B8" t="str">
        <f>_xlfn.XLOOKUP(A8,Table1[Emp_ID],Table1[Full_Name ])</f>
        <v>Krishna</v>
      </c>
      <c r="C8" t="str">
        <f>_xlfn.XLOOKUP(A8,Table1[Emp_ID],Table1[Department])</f>
        <v>Operations</v>
      </c>
      <c r="D8" s="9" t="s">
        <v>490</v>
      </c>
      <c r="E8" s="9" t="s">
        <v>487</v>
      </c>
      <c r="F8" s="9" t="s">
        <v>487</v>
      </c>
      <c r="G8" s="9" t="s">
        <v>487</v>
      </c>
      <c r="H8" s="9" t="s">
        <v>488</v>
      </c>
      <c r="I8" s="9" t="s">
        <v>487</v>
      </c>
      <c r="J8" s="9" t="s">
        <v>487</v>
      </c>
      <c r="K8" s="9" t="s">
        <v>487</v>
      </c>
      <c r="L8" s="9" t="s">
        <v>487</v>
      </c>
      <c r="M8" s="9" t="s">
        <v>487</v>
      </c>
      <c r="N8" s="9" t="s">
        <v>487</v>
      </c>
      <c r="O8" s="9" t="s">
        <v>488</v>
      </c>
      <c r="P8" s="9" t="s">
        <v>488</v>
      </c>
      <c r="Q8" s="9" t="s">
        <v>487</v>
      </c>
      <c r="R8" s="9" t="s">
        <v>487</v>
      </c>
      <c r="S8" s="9" t="s">
        <v>487</v>
      </c>
      <c r="T8" s="9" t="s">
        <v>487</v>
      </c>
      <c r="U8" s="9" t="s">
        <v>487</v>
      </c>
      <c r="V8" s="9" t="s">
        <v>488</v>
      </c>
      <c r="W8" s="9" t="s">
        <v>487</v>
      </c>
      <c r="X8" s="9" t="s">
        <v>487</v>
      </c>
      <c r="Y8" s="9" t="s">
        <v>487</v>
      </c>
      <c r="Z8" s="9" t="s">
        <v>487</v>
      </c>
      <c r="AA8" s="9" t="s">
        <v>487</v>
      </c>
      <c r="AB8" s="9" t="s">
        <v>487</v>
      </c>
      <c r="AC8" s="9" t="s">
        <v>488</v>
      </c>
      <c r="AD8" s="9" t="s">
        <v>487</v>
      </c>
      <c r="AE8" s="9" t="s">
        <v>487</v>
      </c>
      <c r="AF8" s="9" t="s">
        <v>487</v>
      </c>
      <c r="AG8" s="9" t="s">
        <v>487</v>
      </c>
      <c r="AH8" s="9" t="s">
        <v>487</v>
      </c>
      <c r="AI8">
        <f t="shared" si="0"/>
        <v>25</v>
      </c>
      <c r="AJ8">
        <f t="shared" si="1"/>
        <v>1</v>
      </c>
      <c r="AK8">
        <f t="shared" si="2"/>
        <v>0</v>
      </c>
      <c r="AL8">
        <f t="shared" si="3"/>
        <v>0</v>
      </c>
      <c r="AM8">
        <f t="shared" si="4"/>
        <v>0</v>
      </c>
      <c r="AN8">
        <f t="shared" si="5"/>
        <v>0</v>
      </c>
      <c r="AO8">
        <f t="shared" si="6"/>
        <v>25</v>
      </c>
      <c r="AP8" s="66">
        <f t="shared" si="7"/>
        <v>96.15384615384616</v>
      </c>
    </row>
    <row r="9" spans="1:42">
      <c r="A9" t="s">
        <v>17</v>
      </c>
      <c r="B9" t="str">
        <f>_xlfn.XLOOKUP(A9,Table1[Emp_ID],Table1[Full_Name ])</f>
        <v>Ishaan</v>
      </c>
      <c r="C9" t="str">
        <f>_xlfn.XLOOKUP(A9,Table1[Emp_ID],Table1[Department])</f>
        <v>Operations</v>
      </c>
      <c r="D9" s="9" t="s">
        <v>487</v>
      </c>
      <c r="E9" s="9" t="s">
        <v>487</v>
      </c>
      <c r="F9" s="9" t="s">
        <v>487</v>
      </c>
      <c r="G9" s="9" t="s">
        <v>487</v>
      </c>
      <c r="H9" s="9" t="s">
        <v>488</v>
      </c>
      <c r="I9" s="9" t="s">
        <v>487</v>
      </c>
      <c r="J9" s="9" t="s">
        <v>490</v>
      </c>
      <c r="K9" s="9" t="s">
        <v>487</v>
      </c>
      <c r="L9" s="9" t="s">
        <v>487</v>
      </c>
      <c r="M9" s="9" t="s">
        <v>487</v>
      </c>
      <c r="N9" s="9" t="s">
        <v>487</v>
      </c>
      <c r="O9" s="9" t="s">
        <v>488</v>
      </c>
      <c r="P9" s="9" t="s">
        <v>488</v>
      </c>
      <c r="Q9" s="9" t="s">
        <v>487</v>
      </c>
      <c r="R9" s="9" t="s">
        <v>489</v>
      </c>
      <c r="S9" s="9" t="s">
        <v>489</v>
      </c>
      <c r="T9" s="9" t="s">
        <v>487</v>
      </c>
      <c r="U9" s="9" t="s">
        <v>487</v>
      </c>
      <c r="V9" s="9" t="s">
        <v>488</v>
      </c>
      <c r="W9" s="9" t="s">
        <v>487</v>
      </c>
      <c r="X9" s="9" t="s">
        <v>487</v>
      </c>
      <c r="Y9" s="9" t="s">
        <v>487</v>
      </c>
      <c r="Z9" s="9" t="s">
        <v>487</v>
      </c>
      <c r="AA9" s="9" t="s">
        <v>487</v>
      </c>
      <c r="AB9" s="9" t="s">
        <v>487</v>
      </c>
      <c r="AC9" s="9" t="s">
        <v>488</v>
      </c>
      <c r="AD9" s="9" t="s">
        <v>487</v>
      </c>
      <c r="AE9" s="9" t="s">
        <v>487</v>
      </c>
      <c r="AF9" s="9" t="s">
        <v>487</v>
      </c>
      <c r="AG9" s="9" t="s">
        <v>487</v>
      </c>
      <c r="AH9" s="9" t="s">
        <v>487</v>
      </c>
      <c r="AI9">
        <f t="shared" si="0"/>
        <v>23</v>
      </c>
      <c r="AJ9">
        <f t="shared" si="1"/>
        <v>1</v>
      </c>
      <c r="AK9">
        <f t="shared" si="2"/>
        <v>2</v>
      </c>
      <c r="AL9">
        <f t="shared" si="3"/>
        <v>0</v>
      </c>
      <c r="AM9">
        <f t="shared" si="4"/>
        <v>0</v>
      </c>
      <c r="AN9">
        <f t="shared" si="5"/>
        <v>0</v>
      </c>
      <c r="AO9">
        <f t="shared" si="6"/>
        <v>25</v>
      </c>
      <c r="AP9" s="66">
        <f t="shared" si="7"/>
        <v>96.15384615384616</v>
      </c>
    </row>
    <row r="10" spans="1:42">
      <c r="A10" t="s">
        <v>18</v>
      </c>
      <c r="B10" t="str">
        <f>_xlfn.XLOOKUP(A10,Table1[Emp_ID],Table1[Full_Name ])</f>
        <v>Shaurya</v>
      </c>
      <c r="C10" t="str">
        <f>_xlfn.XLOOKUP(A10,Table1[Emp_ID],Table1[Department])</f>
        <v>Operations</v>
      </c>
      <c r="D10" s="9" t="s">
        <v>487</v>
      </c>
      <c r="E10" s="9" t="s">
        <v>487</v>
      </c>
      <c r="F10" s="9" t="s">
        <v>487</v>
      </c>
      <c r="G10" s="9" t="s">
        <v>487</v>
      </c>
      <c r="H10" s="9" t="s">
        <v>488</v>
      </c>
      <c r="I10" s="9" t="s">
        <v>487</v>
      </c>
      <c r="J10" s="9" t="s">
        <v>487</v>
      </c>
      <c r="K10" s="9" t="s">
        <v>487</v>
      </c>
      <c r="L10" s="9" t="s">
        <v>487</v>
      </c>
      <c r="M10" s="9" t="s">
        <v>487</v>
      </c>
      <c r="N10" s="9" t="s">
        <v>487</v>
      </c>
      <c r="O10" s="9" t="s">
        <v>488</v>
      </c>
      <c r="P10" s="9" t="s">
        <v>488</v>
      </c>
      <c r="Q10" s="9" t="s">
        <v>487</v>
      </c>
      <c r="R10" s="9" t="s">
        <v>487</v>
      </c>
      <c r="S10" s="9" t="s">
        <v>487</v>
      </c>
      <c r="T10" s="9" t="s">
        <v>487</v>
      </c>
      <c r="U10" s="9" t="s">
        <v>487</v>
      </c>
      <c r="V10" s="9" t="s">
        <v>488</v>
      </c>
      <c r="W10" s="9" t="s">
        <v>487</v>
      </c>
      <c r="X10" s="9" t="s">
        <v>487</v>
      </c>
      <c r="Y10" s="9" t="s">
        <v>487</v>
      </c>
      <c r="Z10" s="9" t="s">
        <v>491</v>
      </c>
      <c r="AA10" s="9" t="s">
        <v>491</v>
      </c>
      <c r="AB10" s="9" t="s">
        <v>487</v>
      </c>
      <c r="AC10" s="9" t="s">
        <v>488</v>
      </c>
      <c r="AD10" s="9" t="s">
        <v>487</v>
      </c>
      <c r="AE10" s="9" t="s">
        <v>487</v>
      </c>
      <c r="AF10" s="9" t="s">
        <v>487</v>
      </c>
      <c r="AG10" s="9" t="s">
        <v>487</v>
      </c>
      <c r="AH10" s="9" t="s">
        <v>487</v>
      </c>
      <c r="AI10">
        <f t="shared" si="0"/>
        <v>24</v>
      </c>
      <c r="AJ10">
        <f t="shared" si="1"/>
        <v>0</v>
      </c>
      <c r="AK10">
        <f t="shared" si="2"/>
        <v>0</v>
      </c>
      <c r="AL10">
        <f t="shared" si="3"/>
        <v>2</v>
      </c>
      <c r="AM10">
        <f t="shared" si="4"/>
        <v>0</v>
      </c>
      <c r="AN10">
        <f t="shared" si="5"/>
        <v>0</v>
      </c>
      <c r="AO10">
        <f t="shared" si="6"/>
        <v>26</v>
      </c>
      <c r="AP10" s="66">
        <f t="shared" si="7"/>
        <v>100</v>
      </c>
    </row>
    <row r="11" spans="1:42">
      <c r="A11" t="s">
        <v>19</v>
      </c>
      <c r="B11" t="str">
        <f>_xlfn.XLOOKUP(A11,Table1[Emp_ID],Table1[Full_Name ])</f>
        <v>Atharv</v>
      </c>
      <c r="C11" t="str">
        <f>_xlfn.XLOOKUP(A11,Table1[Emp_ID],Table1[Department])</f>
        <v>Operations</v>
      </c>
      <c r="D11" s="9" t="s">
        <v>487</v>
      </c>
      <c r="E11" s="9" t="s">
        <v>487</v>
      </c>
      <c r="F11" s="9" t="s">
        <v>487</v>
      </c>
      <c r="G11" s="9" t="s">
        <v>487</v>
      </c>
      <c r="H11" s="9" t="s">
        <v>488</v>
      </c>
      <c r="I11" s="9" t="s">
        <v>487</v>
      </c>
      <c r="J11" s="9" t="s">
        <v>487</v>
      </c>
      <c r="K11" s="9" t="s">
        <v>487</v>
      </c>
      <c r="L11" s="9" t="s">
        <v>487</v>
      </c>
      <c r="M11" s="9" t="s">
        <v>487</v>
      </c>
      <c r="N11" s="9" t="s">
        <v>487</v>
      </c>
      <c r="O11" s="9" t="s">
        <v>488</v>
      </c>
      <c r="P11" s="9" t="s">
        <v>488</v>
      </c>
      <c r="Q11" s="9" t="s">
        <v>490</v>
      </c>
      <c r="R11" s="9" t="s">
        <v>487</v>
      </c>
      <c r="S11" s="9" t="s">
        <v>487</v>
      </c>
      <c r="T11" s="9" t="s">
        <v>487</v>
      </c>
      <c r="U11" s="9" t="s">
        <v>487</v>
      </c>
      <c r="V11" s="9" t="s">
        <v>488</v>
      </c>
      <c r="W11" s="9" t="s">
        <v>487</v>
      </c>
      <c r="X11" s="9" t="s">
        <v>487</v>
      </c>
      <c r="Y11" s="9" t="s">
        <v>487</v>
      </c>
      <c r="Z11" s="9" t="s">
        <v>487</v>
      </c>
      <c r="AA11" s="9" t="s">
        <v>487</v>
      </c>
      <c r="AB11" s="9" t="s">
        <v>487</v>
      </c>
      <c r="AC11" s="9" t="s">
        <v>488</v>
      </c>
      <c r="AD11" s="9" t="s">
        <v>487</v>
      </c>
      <c r="AE11" s="9" t="s">
        <v>487</v>
      </c>
      <c r="AF11" s="9" t="s">
        <v>487</v>
      </c>
      <c r="AG11" s="9" t="s">
        <v>487</v>
      </c>
      <c r="AH11" s="9" t="s">
        <v>487</v>
      </c>
      <c r="AI11">
        <f t="shared" si="0"/>
        <v>25</v>
      </c>
      <c r="AJ11">
        <f t="shared" si="1"/>
        <v>1</v>
      </c>
      <c r="AK11">
        <f t="shared" si="2"/>
        <v>0</v>
      </c>
      <c r="AL11">
        <f t="shared" si="3"/>
        <v>0</v>
      </c>
      <c r="AM11">
        <f t="shared" si="4"/>
        <v>0</v>
      </c>
      <c r="AN11">
        <f t="shared" si="5"/>
        <v>0</v>
      </c>
      <c r="AO11">
        <f t="shared" si="6"/>
        <v>25</v>
      </c>
      <c r="AP11" s="66">
        <f t="shared" si="7"/>
        <v>96.15384615384616</v>
      </c>
    </row>
    <row r="12" spans="1:42">
      <c r="A12" t="s">
        <v>20</v>
      </c>
      <c r="B12" t="str">
        <f>_xlfn.XLOOKUP(A12,Table1[Emp_ID],Table1[Full_Name ])</f>
        <v>Kabir</v>
      </c>
      <c r="C12" t="str">
        <f>_xlfn.XLOOKUP(A12,Table1[Emp_ID],Table1[Department])</f>
        <v>Operations</v>
      </c>
      <c r="D12" s="9" t="s">
        <v>487</v>
      </c>
      <c r="E12" s="9" t="s">
        <v>487</v>
      </c>
      <c r="F12" s="9" t="s">
        <v>487</v>
      </c>
      <c r="G12" s="9" t="s">
        <v>487</v>
      </c>
      <c r="H12" s="9" t="s">
        <v>488</v>
      </c>
      <c r="I12" s="9" t="s">
        <v>487</v>
      </c>
      <c r="J12" s="9" t="s">
        <v>487</v>
      </c>
      <c r="K12" s="9" t="s">
        <v>487</v>
      </c>
      <c r="L12" s="9" t="s">
        <v>487</v>
      </c>
      <c r="M12" s="9" t="s">
        <v>487</v>
      </c>
      <c r="N12" s="9" t="s">
        <v>487</v>
      </c>
      <c r="O12" s="9" t="s">
        <v>488</v>
      </c>
      <c r="P12" s="9" t="s">
        <v>488</v>
      </c>
      <c r="Q12" s="9" t="s">
        <v>487</v>
      </c>
      <c r="R12" s="9" t="s">
        <v>487</v>
      </c>
      <c r="S12" s="9" t="s">
        <v>487</v>
      </c>
      <c r="T12" s="9" t="s">
        <v>487</v>
      </c>
      <c r="U12" s="9" t="s">
        <v>487</v>
      </c>
      <c r="V12" s="9" t="s">
        <v>488</v>
      </c>
      <c r="W12" s="9" t="s">
        <v>487</v>
      </c>
      <c r="X12" s="9" t="s">
        <v>487</v>
      </c>
      <c r="Y12" s="9" t="s">
        <v>487</v>
      </c>
      <c r="Z12" s="9" t="s">
        <v>487</v>
      </c>
      <c r="AA12" s="9" t="s">
        <v>487</v>
      </c>
      <c r="AB12" s="9" t="s">
        <v>487</v>
      </c>
      <c r="AC12" s="9" t="s">
        <v>488</v>
      </c>
      <c r="AD12" s="9" t="s">
        <v>487</v>
      </c>
      <c r="AE12" s="9" t="s">
        <v>487</v>
      </c>
      <c r="AF12" s="9" t="s">
        <v>487</v>
      </c>
      <c r="AG12" s="9" t="s">
        <v>490</v>
      </c>
      <c r="AH12" s="9" t="s">
        <v>487</v>
      </c>
      <c r="AI12">
        <f t="shared" si="0"/>
        <v>25</v>
      </c>
      <c r="AJ12">
        <f t="shared" si="1"/>
        <v>1</v>
      </c>
      <c r="AK12">
        <f t="shared" si="2"/>
        <v>0</v>
      </c>
      <c r="AL12">
        <f t="shared" si="3"/>
        <v>0</v>
      </c>
      <c r="AM12">
        <f t="shared" si="4"/>
        <v>0</v>
      </c>
      <c r="AN12">
        <f t="shared" si="5"/>
        <v>0</v>
      </c>
      <c r="AO12">
        <f t="shared" si="6"/>
        <v>25</v>
      </c>
      <c r="AP12" s="66">
        <f t="shared" si="7"/>
        <v>96.15384615384616</v>
      </c>
    </row>
    <row r="13" spans="1:42">
      <c r="A13" t="s">
        <v>21</v>
      </c>
      <c r="B13" t="str">
        <f>_xlfn.XLOOKUP(A13,Table1[Emp_ID],Table1[Full_Name ])</f>
        <v>Rohan</v>
      </c>
      <c r="C13" t="str">
        <f>_xlfn.XLOOKUP(A13,Table1[Emp_ID],Table1[Department])</f>
        <v>Operations</v>
      </c>
      <c r="D13" s="9" t="s">
        <v>487</v>
      </c>
      <c r="E13" s="9" t="s">
        <v>487</v>
      </c>
      <c r="F13" s="9" t="s">
        <v>487</v>
      </c>
      <c r="G13" s="9" t="s">
        <v>487</v>
      </c>
      <c r="H13" s="9" t="s">
        <v>488</v>
      </c>
      <c r="I13" s="9" t="s">
        <v>487</v>
      </c>
      <c r="J13" s="9" t="s">
        <v>487</v>
      </c>
      <c r="K13" s="9" t="s">
        <v>487</v>
      </c>
      <c r="L13" s="9" t="s">
        <v>487</v>
      </c>
      <c r="M13" s="9" t="s">
        <v>487</v>
      </c>
      <c r="N13" s="9" t="s">
        <v>487</v>
      </c>
      <c r="O13" s="9" t="s">
        <v>488</v>
      </c>
      <c r="P13" s="9" t="s">
        <v>488</v>
      </c>
      <c r="Q13" s="9" t="s">
        <v>487</v>
      </c>
      <c r="R13" s="9" t="s">
        <v>487</v>
      </c>
      <c r="S13" s="9" t="s">
        <v>487</v>
      </c>
      <c r="T13" s="9" t="s">
        <v>487</v>
      </c>
      <c r="U13" s="9" t="s">
        <v>487</v>
      </c>
      <c r="V13" s="9" t="s">
        <v>488</v>
      </c>
      <c r="W13" s="9" t="s">
        <v>487</v>
      </c>
      <c r="X13" s="9" t="s">
        <v>487</v>
      </c>
      <c r="Y13" s="9" t="s">
        <v>487</v>
      </c>
      <c r="Z13" s="9" t="s">
        <v>487</v>
      </c>
      <c r="AA13" s="9" t="s">
        <v>487</v>
      </c>
      <c r="AB13" s="9" t="s">
        <v>487</v>
      </c>
      <c r="AC13" s="9" t="s">
        <v>488</v>
      </c>
      <c r="AD13" s="9" t="s">
        <v>487</v>
      </c>
      <c r="AE13" s="9" t="s">
        <v>487</v>
      </c>
      <c r="AF13" s="9" t="s">
        <v>487</v>
      </c>
      <c r="AG13" s="9" t="s">
        <v>487</v>
      </c>
      <c r="AH13" s="9" t="s">
        <v>487</v>
      </c>
      <c r="AI13">
        <f t="shared" si="0"/>
        <v>26</v>
      </c>
      <c r="AJ13">
        <f t="shared" si="1"/>
        <v>0</v>
      </c>
      <c r="AK13">
        <f t="shared" si="2"/>
        <v>0</v>
      </c>
      <c r="AL13">
        <f t="shared" si="3"/>
        <v>0</v>
      </c>
      <c r="AM13">
        <f t="shared" si="4"/>
        <v>0</v>
      </c>
      <c r="AN13">
        <f t="shared" si="5"/>
        <v>0</v>
      </c>
      <c r="AO13">
        <f t="shared" si="6"/>
        <v>26</v>
      </c>
      <c r="AP13" s="66">
        <f t="shared" si="7"/>
        <v>100</v>
      </c>
    </row>
    <row r="14" spans="1:42">
      <c r="A14" t="s">
        <v>22</v>
      </c>
      <c r="B14" t="str">
        <f>_xlfn.XLOOKUP(A14,Table1[Emp_ID],Table1[Full_Name ])</f>
        <v>Ayaan</v>
      </c>
      <c r="C14" t="str">
        <f>_xlfn.XLOOKUP(A14,Table1[Emp_ID],Table1[Department])</f>
        <v>Operations</v>
      </c>
      <c r="D14" s="9" t="s">
        <v>487</v>
      </c>
      <c r="E14" s="9" t="s">
        <v>487</v>
      </c>
      <c r="F14" s="9" t="s">
        <v>492</v>
      </c>
      <c r="G14" s="9" t="s">
        <v>487</v>
      </c>
      <c r="H14" s="9" t="s">
        <v>488</v>
      </c>
      <c r="I14" s="9" t="s">
        <v>487</v>
      </c>
      <c r="J14" s="9" t="s">
        <v>487</v>
      </c>
      <c r="K14" s="9" t="s">
        <v>487</v>
      </c>
      <c r="L14" s="9" t="s">
        <v>487</v>
      </c>
      <c r="M14" s="9" t="s">
        <v>487</v>
      </c>
      <c r="N14" s="9" t="s">
        <v>487</v>
      </c>
      <c r="O14" s="9" t="s">
        <v>488</v>
      </c>
      <c r="P14" s="9" t="s">
        <v>488</v>
      </c>
      <c r="Q14" s="9" t="s">
        <v>487</v>
      </c>
      <c r="R14" s="9" t="s">
        <v>487</v>
      </c>
      <c r="S14" s="9" t="s">
        <v>487</v>
      </c>
      <c r="T14" s="9" t="s">
        <v>487</v>
      </c>
      <c r="U14" s="9" t="s">
        <v>490</v>
      </c>
      <c r="V14" s="9" t="s">
        <v>488</v>
      </c>
      <c r="W14" s="9" t="s">
        <v>487</v>
      </c>
      <c r="X14" s="9" t="s">
        <v>487</v>
      </c>
      <c r="Y14" s="9" t="s">
        <v>487</v>
      </c>
      <c r="Z14" s="9" t="s">
        <v>487</v>
      </c>
      <c r="AA14" s="9" t="s">
        <v>487</v>
      </c>
      <c r="AB14" s="9" t="s">
        <v>487</v>
      </c>
      <c r="AC14" s="9" t="s">
        <v>488</v>
      </c>
      <c r="AD14" s="9" t="s">
        <v>487</v>
      </c>
      <c r="AE14" s="9" t="s">
        <v>487</v>
      </c>
      <c r="AF14" s="9" t="s">
        <v>487</v>
      </c>
      <c r="AG14" s="9" t="s">
        <v>487</v>
      </c>
      <c r="AH14" s="9" t="s">
        <v>487</v>
      </c>
      <c r="AI14">
        <f t="shared" si="0"/>
        <v>24</v>
      </c>
      <c r="AJ14">
        <f t="shared" si="1"/>
        <v>1</v>
      </c>
      <c r="AK14">
        <f t="shared" si="2"/>
        <v>0</v>
      </c>
      <c r="AL14">
        <f t="shared" si="3"/>
        <v>0</v>
      </c>
      <c r="AM14">
        <f t="shared" si="4"/>
        <v>0</v>
      </c>
      <c r="AN14">
        <f t="shared" si="5"/>
        <v>1</v>
      </c>
      <c r="AO14">
        <f t="shared" si="6"/>
        <v>24</v>
      </c>
      <c r="AP14" s="66">
        <f t="shared" si="7"/>
        <v>92.307692307692307</v>
      </c>
    </row>
    <row r="15" spans="1:42">
      <c r="A15" t="s">
        <v>23</v>
      </c>
      <c r="B15" t="str">
        <f>_xlfn.XLOOKUP(A15,Table1[Emp_ID],Table1[Full_Name ])</f>
        <v>Vihaan</v>
      </c>
      <c r="C15" t="str">
        <f>_xlfn.XLOOKUP(A15,Table1[Emp_ID],Table1[Department])</f>
        <v>Operations</v>
      </c>
      <c r="D15" s="9" t="s">
        <v>487</v>
      </c>
      <c r="E15" s="9" t="s">
        <v>487</v>
      </c>
      <c r="F15" s="9" t="s">
        <v>487</v>
      </c>
      <c r="G15" s="9" t="s">
        <v>487</v>
      </c>
      <c r="H15" s="9" t="s">
        <v>488</v>
      </c>
      <c r="I15" s="9" t="s">
        <v>487</v>
      </c>
      <c r="J15" s="9" t="s">
        <v>487</v>
      </c>
      <c r="K15" s="9" t="s">
        <v>487</v>
      </c>
      <c r="L15" s="9" t="s">
        <v>487</v>
      </c>
      <c r="M15" s="9" t="s">
        <v>487</v>
      </c>
      <c r="N15" s="9" t="s">
        <v>487</v>
      </c>
      <c r="O15" s="9" t="s">
        <v>488</v>
      </c>
      <c r="P15" s="9" t="s">
        <v>488</v>
      </c>
      <c r="Q15" s="9" t="s">
        <v>491</v>
      </c>
      <c r="R15" s="9" t="s">
        <v>487</v>
      </c>
      <c r="S15" s="9" t="s">
        <v>487</v>
      </c>
      <c r="T15" s="9" t="s">
        <v>487</v>
      </c>
      <c r="U15" s="9" t="s">
        <v>487</v>
      </c>
      <c r="V15" s="9" t="s">
        <v>488</v>
      </c>
      <c r="W15" s="9" t="s">
        <v>490</v>
      </c>
      <c r="X15" s="9" t="s">
        <v>487</v>
      </c>
      <c r="Y15" s="9" t="s">
        <v>487</v>
      </c>
      <c r="Z15" s="9" t="s">
        <v>487</v>
      </c>
      <c r="AA15" s="9" t="s">
        <v>487</v>
      </c>
      <c r="AB15" s="9" t="s">
        <v>487</v>
      </c>
      <c r="AC15" s="9" t="s">
        <v>488</v>
      </c>
      <c r="AD15" s="9" t="s">
        <v>491</v>
      </c>
      <c r="AE15" s="9" t="s">
        <v>491</v>
      </c>
      <c r="AF15" s="9" t="s">
        <v>491</v>
      </c>
      <c r="AG15" s="9" t="s">
        <v>487</v>
      </c>
      <c r="AH15" s="9" t="s">
        <v>487</v>
      </c>
      <c r="AI15">
        <f t="shared" si="0"/>
        <v>21</v>
      </c>
      <c r="AJ15">
        <f t="shared" si="1"/>
        <v>1</v>
      </c>
      <c r="AK15">
        <f t="shared" si="2"/>
        <v>0</v>
      </c>
      <c r="AL15">
        <f t="shared" si="3"/>
        <v>4</v>
      </c>
      <c r="AM15">
        <f t="shared" si="4"/>
        <v>0</v>
      </c>
      <c r="AN15">
        <f t="shared" si="5"/>
        <v>0</v>
      </c>
      <c r="AO15">
        <f t="shared" si="6"/>
        <v>25</v>
      </c>
      <c r="AP15" s="66">
        <f t="shared" si="7"/>
        <v>96.15384615384616</v>
      </c>
    </row>
    <row r="16" spans="1:42">
      <c r="A16" t="s">
        <v>24</v>
      </c>
      <c r="B16" t="str">
        <f>_xlfn.XLOOKUP(A16,Table1[Emp_ID],Table1[Full_Name ])</f>
        <v>Dhruv</v>
      </c>
      <c r="C16" t="str">
        <f>_xlfn.XLOOKUP(A16,Table1[Emp_ID],Table1[Department])</f>
        <v>Operations</v>
      </c>
      <c r="D16" s="9" t="s">
        <v>487</v>
      </c>
      <c r="E16" s="9" t="s">
        <v>487</v>
      </c>
      <c r="F16" s="9" t="s">
        <v>487</v>
      </c>
      <c r="G16" s="9" t="s">
        <v>487</v>
      </c>
      <c r="H16" s="9" t="s">
        <v>488</v>
      </c>
      <c r="I16" s="9" t="s">
        <v>487</v>
      </c>
      <c r="J16" s="9" t="s">
        <v>487</v>
      </c>
      <c r="K16" s="9" t="s">
        <v>487</v>
      </c>
      <c r="L16" s="9" t="s">
        <v>487</v>
      </c>
      <c r="M16" s="9" t="s">
        <v>491</v>
      </c>
      <c r="N16" s="9" t="s">
        <v>491</v>
      </c>
      <c r="O16" s="9" t="s">
        <v>488</v>
      </c>
      <c r="P16" s="9" t="s">
        <v>488</v>
      </c>
      <c r="Q16" s="9" t="s">
        <v>487</v>
      </c>
      <c r="R16" s="9" t="s">
        <v>487</v>
      </c>
      <c r="S16" s="9" t="s">
        <v>487</v>
      </c>
      <c r="T16" s="9" t="s">
        <v>487</v>
      </c>
      <c r="U16" s="9" t="s">
        <v>487</v>
      </c>
      <c r="V16" s="9" t="s">
        <v>488</v>
      </c>
      <c r="W16" s="9" t="s">
        <v>487</v>
      </c>
      <c r="X16" s="9" t="s">
        <v>487</v>
      </c>
      <c r="Y16" s="9" t="s">
        <v>487</v>
      </c>
      <c r="Z16" s="9" t="s">
        <v>487</v>
      </c>
      <c r="AA16" s="9" t="s">
        <v>490</v>
      </c>
      <c r="AB16" s="9" t="s">
        <v>487</v>
      </c>
      <c r="AC16" s="9" t="s">
        <v>488</v>
      </c>
      <c r="AD16" s="9" t="s">
        <v>487</v>
      </c>
      <c r="AE16" s="9" t="s">
        <v>487</v>
      </c>
      <c r="AF16" s="9" t="s">
        <v>487</v>
      </c>
      <c r="AG16" s="9" t="s">
        <v>487</v>
      </c>
      <c r="AH16" s="9" t="s">
        <v>487</v>
      </c>
      <c r="AI16">
        <f t="shared" si="0"/>
        <v>23</v>
      </c>
      <c r="AJ16">
        <f t="shared" si="1"/>
        <v>1</v>
      </c>
      <c r="AK16">
        <f t="shared" si="2"/>
        <v>0</v>
      </c>
      <c r="AL16">
        <f t="shared" si="3"/>
        <v>2</v>
      </c>
      <c r="AM16">
        <f t="shared" si="4"/>
        <v>0</v>
      </c>
      <c r="AN16">
        <f t="shared" si="5"/>
        <v>0</v>
      </c>
      <c r="AO16">
        <f t="shared" si="6"/>
        <v>25</v>
      </c>
      <c r="AP16" s="66">
        <f t="shared" si="7"/>
        <v>96.15384615384616</v>
      </c>
    </row>
    <row r="17" spans="1:42">
      <c r="A17" t="s">
        <v>25</v>
      </c>
      <c r="B17" t="str">
        <f>_xlfn.XLOOKUP(A17,Table1[Emp_ID],Table1[Full_Name ])</f>
        <v>Kunal</v>
      </c>
      <c r="C17" t="str">
        <f>_xlfn.XLOOKUP(A17,Table1[Emp_ID],Table1[Department])</f>
        <v>Operations</v>
      </c>
      <c r="D17" s="9" t="s">
        <v>487</v>
      </c>
      <c r="E17" s="9" t="s">
        <v>487</v>
      </c>
      <c r="F17" s="9" t="s">
        <v>487</v>
      </c>
      <c r="G17" s="9" t="s">
        <v>487</v>
      </c>
      <c r="H17" s="9" t="s">
        <v>488</v>
      </c>
      <c r="I17" s="9" t="s">
        <v>487</v>
      </c>
      <c r="J17" s="9" t="s">
        <v>487</v>
      </c>
      <c r="K17" s="9" t="s">
        <v>487</v>
      </c>
      <c r="L17" s="9" t="s">
        <v>487</v>
      </c>
      <c r="M17" s="9" t="s">
        <v>487</v>
      </c>
      <c r="N17" s="9" t="s">
        <v>487</v>
      </c>
      <c r="O17" s="9" t="s">
        <v>488</v>
      </c>
      <c r="P17" s="9" t="s">
        <v>488</v>
      </c>
      <c r="Q17" s="9" t="s">
        <v>487</v>
      </c>
      <c r="R17" s="9" t="s">
        <v>487</v>
      </c>
      <c r="S17" s="9" t="s">
        <v>487</v>
      </c>
      <c r="T17" s="9" t="s">
        <v>487</v>
      </c>
      <c r="U17" s="9" t="s">
        <v>487</v>
      </c>
      <c r="V17" s="9" t="s">
        <v>488</v>
      </c>
      <c r="W17" s="9" t="s">
        <v>487</v>
      </c>
      <c r="X17" s="9" t="s">
        <v>487</v>
      </c>
      <c r="Y17" s="9" t="s">
        <v>487</v>
      </c>
      <c r="Z17" s="9" t="s">
        <v>487</v>
      </c>
      <c r="AA17" s="9" t="s">
        <v>487</v>
      </c>
      <c r="AB17" s="9" t="s">
        <v>487</v>
      </c>
      <c r="AC17" s="9" t="s">
        <v>488</v>
      </c>
      <c r="AD17" s="9" t="s">
        <v>487</v>
      </c>
      <c r="AE17" s="9" t="s">
        <v>487</v>
      </c>
      <c r="AF17" s="9" t="s">
        <v>487</v>
      </c>
      <c r="AG17" s="9" t="s">
        <v>487</v>
      </c>
      <c r="AH17" s="9" t="s">
        <v>487</v>
      </c>
      <c r="AI17">
        <f t="shared" si="0"/>
        <v>26</v>
      </c>
      <c r="AJ17">
        <f t="shared" si="1"/>
        <v>0</v>
      </c>
      <c r="AK17">
        <f t="shared" si="2"/>
        <v>0</v>
      </c>
      <c r="AL17">
        <f t="shared" si="3"/>
        <v>0</v>
      </c>
      <c r="AM17">
        <f t="shared" si="4"/>
        <v>0</v>
      </c>
      <c r="AN17">
        <f t="shared" si="5"/>
        <v>0</v>
      </c>
      <c r="AO17">
        <f t="shared" si="6"/>
        <v>26</v>
      </c>
      <c r="AP17" s="66">
        <f t="shared" si="7"/>
        <v>100</v>
      </c>
    </row>
    <row r="18" spans="1:42">
      <c r="A18" t="s">
        <v>26</v>
      </c>
      <c r="B18" t="str">
        <f>_xlfn.XLOOKUP(A18,Table1[Emp_ID],Table1[Full_Name ])</f>
        <v>Yash</v>
      </c>
      <c r="C18" t="str">
        <f>_xlfn.XLOOKUP(A18,Table1[Emp_ID],Table1[Department])</f>
        <v>Operations</v>
      </c>
      <c r="D18" s="9" t="s">
        <v>487</v>
      </c>
      <c r="E18" s="9" t="s">
        <v>487</v>
      </c>
      <c r="F18" s="9" t="s">
        <v>487</v>
      </c>
      <c r="G18" s="9" t="s">
        <v>487</v>
      </c>
      <c r="H18" s="9" t="s">
        <v>488</v>
      </c>
      <c r="I18" s="9" t="s">
        <v>487</v>
      </c>
      <c r="J18" s="9" t="s">
        <v>487</v>
      </c>
      <c r="K18" s="9" t="s">
        <v>487</v>
      </c>
      <c r="L18" s="9" t="s">
        <v>487</v>
      </c>
      <c r="M18" s="9" t="s">
        <v>487</v>
      </c>
      <c r="N18" s="9" t="s">
        <v>487</v>
      </c>
      <c r="O18" s="9" t="s">
        <v>488</v>
      </c>
      <c r="P18" s="9" t="s">
        <v>488</v>
      </c>
      <c r="Q18" s="9" t="s">
        <v>487</v>
      </c>
      <c r="R18" s="9" t="s">
        <v>487</v>
      </c>
      <c r="S18" s="9" t="s">
        <v>487</v>
      </c>
      <c r="T18" s="9" t="s">
        <v>487</v>
      </c>
      <c r="U18" s="9" t="s">
        <v>487</v>
      </c>
      <c r="V18" s="9" t="s">
        <v>488</v>
      </c>
      <c r="W18" s="9" t="s">
        <v>487</v>
      </c>
      <c r="X18" s="9" t="s">
        <v>487</v>
      </c>
      <c r="Y18" s="9" t="s">
        <v>492</v>
      </c>
      <c r="Z18" s="9" t="s">
        <v>487</v>
      </c>
      <c r="AA18" s="9" t="s">
        <v>487</v>
      </c>
      <c r="AB18" s="9" t="s">
        <v>487</v>
      </c>
      <c r="AC18" s="9" t="s">
        <v>488</v>
      </c>
      <c r="AD18" s="9" t="s">
        <v>487</v>
      </c>
      <c r="AE18" s="9" t="s">
        <v>487</v>
      </c>
      <c r="AF18" s="9" t="s">
        <v>487</v>
      </c>
      <c r="AG18" s="9" t="s">
        <v>487</v>
      </c>
      <c r="AH18" s="9" t="s">
        <v>487</v>
      </c>
      <c r="AI18">
        <f t="shared" si="0"/>
        <v>25</v>
      </c>
      <c r="AJ18">
        <f t="shared" si="1"/>
        <v>0</v>
      </c>
      <c r="AK18">
        <f t="shared" si="2"/>
        <v>0</v>
      </c>
      <c r="AL18">
        <f t="shared" si="3"/>
        <v>0</v>
      </c>
      <c r="AM18">
        <f t="shared" si="4"/>
        <v>0</v>
      </c>
      <c r="AN18">
        <f t="shared" si="5"/>
        <v>1</v>
      </c>
      <c r="AO18">
        <f t="shared" si="6"/>
        <v>25</v>
      </c>
      <c r="AP18" s="66">
        <f t="shared" si="7"/>
        <v>96.15384615384616</v>
      </c>
    </row>
    <row r="19" spans="1:42">
      <c r="A19" t="s">
        <v>27</v>
      </c>
      <c r="B19" t="str">
        <f>_xlfn.XLOOKUP(A19,Table1[Emp_ID],Table1[Full_Name ])</f>
        <v>Siddharth</v>
      </c>
      <c r="C19" t="str">
        <f>_xlfn.XLOOKUP(A19,Table1[Emp_ID],Table1[Department])</f>
        <v>Operations</v>
      </c>
      <c r="D19" s="9" t="s">
        <v>487</v>
      </c>
      <c r="E19" s="9" t="s">
        <v>487</v>
      </c>
      <c r="F19" s="9" t="s">
        <v>487</v>
      </c>
      <c r="G19" s="9" t="s">
        <v>487</v>
      </c>
      <c r="H19" s="9" t="s">
        <v>488</v>
      </c>
      <c r="I19" s="9" t="s">
        <v>487</v>
      </c>
      <c r="J19" s="9" t="s">
        <v>487</v>
      </c>
      <c r="K19" s="9" t="s">
        <v>487</v>
      </c>
      <c r="L19" s="9" t="s">
        <v>487</v>
      </c>
      <c r="M19" s="9" t="s">
        <v>487</v>
      </c>
      <c r="N19" s="9" t="s">
        <v>487</v>
      </c>
      <c r="O19" s="9" t="s">
        <v>488</v>
      </c>
      <c r="P19" s="9" t="s">
        <v>488</v>
      </c>
      <c r="Q19" s="9" t="s">
        <v>487</v>
      </c>
      <c r="R19" s="9" t="s">
        <v>487</v>
      </c>
      <c r="S19" s="9" t="s">
        <v>487</v>
      </c>
      <c r="T19" s="9" t="s">
        <v>487</v>
      </c>
      <c r="U19" s="9" t="s">
        <v>487</v>
      </c>
      <c r="V19" s="9" t="s">
        <v>488</v>
      </c>
      <c r="W19" s="9" t="s">
        <v>487</v>
      </c>
      <c r="X19" s="9" t="s">
        <v>487</v>
      </c>
      <c r="Y19" s="9" t="s">
        <v>487</v>
      </c>
      <c r="Z19" s="9" t="s">
        <v>487</v>
      </c>
      <c r="AA19" s="9" t="s">
        <v>487</v>
      </c>
      <c r="AB19" s="9" t="s">
        <v>487</v>
      </c>
      <c r="AC19" s="9" t="s">
        <v>488</v>
      </c>
      <c r="AD19" s="9" t="s">
        <v>487</v>
      </c>
      <c r="AE19" s="9" t="s">
        <v>487</v>
      </c>
      <c r="AF19" s="9" t="s">
        <v>487</v>
      </c>
      <c r="AG19" s="9" t="s">
        <v>487</v>
      </c>
      <c r="AH19" s="9" t="s">
        <v>487</v>
      </c>
      <c r="AI19">
        <f t="shared" si="0"/>
        <v>26</v>
      </c>
      <c r="AJ19">
        <f t="shared" si="1"/>
        <v>0</v>
      </c>
      <c r="AK19">
        <f t="shared" si="2"/>
        <v>0</v>
      </c>
      <c r="AL19">
        <f t="shared" si="3"/>
        <v>0</v>
      </c>
      <c r="AM19">
        <f t="shared" si="4"/>
        <v>0</v>
      </c>
      <c r="AN19">
        <f t="shared" si="5"/>
        <v>0</v>
      </c>
      <c r="AO19">
        <f t="shared" si="6"/>
        <v>26</v>
      </c>
      <c r="AP19" s="66">
        <f t="shared" si="7"/>
        <v>100</v>
      </c>
    </row>
    <row r="20" spans="1:42">
      <c r="A20" t="s">
        <v>28</v>
      </c>
      <c r="B20" t="str">
        <f>_xlfn.XLOOKUP(A20,Table1[Emp_ID],Table1[Full_Name ])</f>
        <v>Harsh</v>
      </c>
      <c r="C20" t="str">
        <f>_xlfn.XLOOKUP(A20,Table1[Emp_ID],Table1[Department])</f>
        <v>Operations</v>
      </c>
      <c r="D20" s="9" t="s">
        <v>487</v>
      </c>
      <c r="E20" s="9" t="s">
        <v>493</v>
      </c>
      <c r="F20" s="9" t="s">
        <v>493</v>
      </c>
      <c r="G20" s="9" t="s">
        <v>493</v>
      </c>
      <c r="H20" s="9" t="s">
        <v>488</v>
      </c>
      <c r="I20" s="9" t="s">
        <v>487</v>
      </c>
      <c r="J20" s="9" t="s">
        <v>487</v>
      </c>
      <c r="K20" s="9" t="s">
        <v>487</v>
      </c>
      <c r="L20" s="9" t="s">
        <v>487</v>
      </c>
      <c r="M20" s="9" t="s">
        <v>487</v>
      </c>
      <c r="N20" s="9" t="s">
        <v>487</v>
      </c>
      <c r="O20" s="9" t="s">
        <v>488</v>
      </c>
      <c r="P20" s="9" t="s">
        <v>488</v>
      </c>
      <c r="Q20" s="9" t="s">
        <v>493</v>
      </c>
      <c r="R20" s="9" t="s">
        <v>493</v>
      </c>
      <c r="S20" s="9" t="s">
        <v>493</v>
      </c>
      <c r="T20" s="9" t="s">
        <v>493</v>
      </c>
      <c r="U20" s="9" t="s">
        <v>487</v>
      </c>
      <c r="V20" s="9" t="s">
        <v>488</v>
      </c>
      <c r="W20" s="9" t="s">
        <v>487</v>
      </c>
      <c r="X20" s="9" t="s">
        <v>487</v>
      </c>
      <c r="Y20" s="9" t="s">
        <v>487</v>
      </c>
      <c r="Z20" s="9" t="s">
        <v>490</v>
      </c>
      <c r="AA20" s="9" t="s">
        <v>487</v>
      </c>
      <c r="AB20" s="9" t="s">
        <v>487</v>
      </c>
      <c r="AC20" s="9" t="s">
        <v>488</v>
      </c>
      <c r="AD20" s="9" t="s">
        <v>487</v>
      </c>
      <c r="AE20" s="9" t="s">
        <v>487</v>
      </c>
      <c r="AF20" s="9" t="s">
        <v>487</v>
      </c>
      <c r="AG20" s="9" t="s">
        <v>487</v>
      </c>
      <c r="AH20" s="9" t="s">
        <v>487</v>
      </c>
      <c r="AI20">
        <f t="shared" si="0"/>
        <v>18</v>
      </c>
      <c r="AJ20">
        <f t="shared" si="1"/>
        <v>1</v>
      </c>
      <c r="AK20">
        <f t="shared" si="2"/>
        <v>0</v>
      </c>
      <c r="AL20">
        <f t="shared" si="3"/>
        <v>0</v>
      </c>
      <c r="AM20">
        <f t="shared" si="4"/>
        <v>7</v>
      </c>
      <c r="AN20">
        <f t="shared" si="5"/>
        <v>0</v>
      </c>
      <c r="AO20">
        <f t="shared" si="6"/>
        <v>25</v>
      </c>
      <c r="AP20" s="66">
        <f t="shared" si="7"/>
        <v>96.15384615384616</v>
      </c>
    </row>
    <row r="21" spans="1:42">
      <c r="A21" t="s">
        <v>29</v>
      </c>
      <c r="B21" t="str">
        <f>_xlfn.XLOOKUP(A21,Table1[Emp_ID],Table1[Full_Name ])</f>
        <v>Dev</v>
      </c>
      <c r="C21" t="str">
        <f>_xlfn.XLOOKUP(A21,Table1[Emp_ID],Table1[Department])</f>
        <v>Operations</v>
      </c>
      <c r="D21" s="9" t="s">
        <v>487</v>
      </c>
      <c r="E21" s="9" t="s">
        <v>487</v>
      </c>
      <c r="F21" s="9" t="s">
        <v>487</v>
      </c>
      <c r="G21" s="9" t="s">
        <v>487</v>
      </c>
      <c r="H21" s="9" t="s">
        <v>488</v>
      </c>
      <c r="I21" s="9" t="s">
        <v>487</v>
      </c>
      <c r="J21" s="9" t="s">
        <v>487</v>
      </c>
      <c r="K21" s="9" t="s">
        <v>487</v>
      </c>
      <c r="L21" s="9" t="s">
        <v>487</v>
      </c>
      <c r="M21" s="9" t="s">
        <v>487</v>
      </c>
      <c r="N21" s="9" t="s">
        <v>487</v>
      </c>
      <c r="O21" s="9" t="s">
        <v>488</v>
      </c>
      <c r="P21" s="9" t="s">
        <v>488</v>
      </c>
      <c r="Q21" s="9" t="s">
        <v>487</v>
      </c>
      <c r="R21" s="9" t="s">
        <v>487</v>
      </c>
      <c r="S21" s="9" t="s">
        <v>487</v>
      </c>
      <c r="T21" s="9" t="s">
        <v>487</v>
      </c>
      <c r="U21" s="9" t="s">
        <v>487</v>
      </c>
      <c r="V21" s="9" t="s">
        <v>488</v>
      </c>
      <c r="W21" s="9" t="s">
        <v>487</v>
      </c>
      <c r="X21" s="9" t="s">
        <v>487</v>
      </c>
      <c r="Y21" s="9" t="s">
        <v>487</v>
      </c>
      <c r="Z21" s="9" t="s">
        <v>487</v>
      </c>
      <c r="AA21" s="9" t="s">
        <v>487</v>
      </c>
      <c r="AB21" s="9" t="s">
        <v>487</v>
      </c>
      <c r="AC21" s="9" t="s">
        <v>488</v>
      </c>
      <c r="AD21" s="9" t="s">
        <v>487</v>
      </c>
      <c r="AE21" s="9" t="s">
        <v>487</v>
      </c>
      <c r="AF21" s="9" t="s">
        <v>487</v>
      </c>
      <c r="AG21" s="9" t="s">
        <v>487</v>
      </c>
      <c r="AH21" s="9" t="s">
        <v>487</v>
      </c>
      <c r="AI21">
        <f t="shared" si="0"/>
        <v>26</v>
      </c>
      <c r="AJ21">
        <f t="shared" si="1"/>
        <v>0</v>
      </c>
      <c r="AK21">
        <f t="shared" si="2"/>
        <v>0</v>
      </c>
      <c r="AL21">
        <f t="shared" si="3"/>
        <v>0</v>
      </c>
      <c r="AM21">
        <f t="shared" si="4"/>
        <v>0</v>
      </c>
      <c r="AN21">
        <f t="shared" si="5"/>
        <v>0</v>
      </c>
      <c r="AO21">
        <f t="shared" si="6"/>
        <v>26</v>
      </c>
      <c r="AP21" s="66">
        <f t="shared" si="7"/>
        <v>100</v>
      </c>
    </row>
    <row r="22" spans="1:42">
      <c r="A22" t="s">
        <v>30</v>
      </c>
      <c r="B22" t="str">
        <f>_xlfn.XLOOKUP(A22,Table1[Emp_ID],Table1[Full_Name ])</f>
        <v>Ankit</v>
      </c>
      <c r="C22" t="str">
        <f>_xlfn.XLOOKUP(A22,Table1[Emp_ID],Table1[Department])</f>
        <v>Operations</v>
      </c>
      <c r="D22" s="9" t="s">
        <v>487</v>
      </c>
      <c r="E22" s="9" t="s">
        <v>487</v>
      </c>
      <c r="F22" s="9" t="s">
        <v>487</v>
      </c>
      <c r="G22" s="9" t="s">
        <v>487</v>
      </c>
      <c r="H22" s="9" t="s">
        <v>488</v>
      </c>
      <c r="I22" s="9" t="s">
        <v>492</v>
      </c>
      <c r="J22" s="9" t="s">
        <v>487</v>
      </c>
      <c r="K22" s="9" t="s">
        <v>487</v>
      </c>
      <c r="L22" s="9" t="s">
        <v>487</v>
      </c>
      <c r="M22" s="9" t="s">
        <v>487</v>
      </c>
      <c r="N22" s="9" t="s">
        <v>487</v>
      </c>
      <c r="O22" s="9" t="s">
        <v>488</v>
      </c>
      <c r="P22" s="9" t="s">
        <v>488</v>
      </c>
      <c r="Q22" s="9" t="s">
        <v>487</v>
      </c>
      <c r="R22" s="9" t="s">
        <v>487</v>
      </c>
      <c r="S22" s="9" t="s">
        <v>487</v>
      </c>
      <c r="T22" s="9" t="s">
        <v>487</v>
      </c>
      <c r="U22" s="9" t="s">
        <v>487</v>
      </c>
      <c r="V22" s="9" t="s">
        <v>488</v>
      </c>
      <c r="W22" s="9" t="s">
        <v>487</v>
      </c>
      <c r="X22" s="9" t="s">
        <v>487</v>
      </c>
      <c r="Y22" s="9" t="s">
        <v>487</v>
      </c>
      <c r="Z22" s="9" t="s">
        <v>487</v>
      </c>
      <c r="AA22" s="9" t="s">
        <v>487</v>
      </c>
      <c r="AB22" s="9" t="s">
        <v>487</v>
      </c>
      <c r="AC22" s="9" t="s">
        <v>488</v>
      </c>
      <c r="AD22" s="9" t="s">
        <v>487</v>
      </c>
      <c r="AE22" s="9" t="s">
        <v>487</v>
      </c>
      <c r="AF22" s="9" t="s">
        <v>487</v>
      </c>
      <c r="AG22" s="9" t="s">
        <v>487</v>
      </c>
      <c r="AH22" s="9" t="s">
        <v>487</v>
      </c>
      <c r="AI22">
        <f t="shared" si="0"/>
        <v>25</v>
      </c>
      <c r="AJ22">
        <f t="shared" si="1"/>
        <v>0</v>
      </c>
      <c r="AK22">
        <f t="shared" si="2"/>
        <v>0</v>
      </c>
      <c r="AL22">
        <f t="shared" si="3"/>
        <v>0</v>
      </c>
      <c r="AM22">
        <f t="shared" si="4"/>
        <v>0</v>
      </c>
      <c r="AN22">
        <f t="shared" si="5"/>
        <v>1</v>
      </c>
      <c r="AO22">
        <f t="shared" si="6"/>
        <v>25</v>
      </c>
      <c r="AP22" s="66">
        <f t="shared" si="7"/>
        <v>96.15384615384616</v>
      </c>
    </row>
    <row r="23" spans="1:42">
      <c r="A23" t="s">
        <v>31</v>
      </c>
      <c r="B23" t="str">
        <f>_xlfn.XLOOKUP(A23,Table1[Emp_ID],Table1[Full_Name ])</f>
        <v>Nikhil</v>
      </c>
      <c r="C23" t="str">
        <f>_xlfn.XLOOKUP(A23,Table1[Emp_ID],Table1[Department])</f>
        <v>Operations</v>
      </c>
      <c r="D23" s="9" t="s">
        <v>487</v>
      </c>
      <c r="E23" s="9" t="s">
        <v>487</v>
      </c>
      <c r="F23" s="9" t="s">
        <v>487</v>
      </c>
      <c r="G23" s="9" t="s">
        <v>487</v>
      </c>
      <c r="H23" s="9" t="s">
        <v>488</v>
      </c>
      <c r="I23" s="9" t="s">
        <v>487</v>
      </c>
      <c r="J23" s="9" t="s">
        <v>487</v>
      </c>
      <c r="K23" s="9" t="s">
        <v>487</v>
      </c>
      <c r="L23" s="9" t="s">
        <v>487</v>
      </c>
      <c r="M23" s="9" t="s">
        <v>487</v>
      </c>
      <c r="N23" s="9" t="s">
        <v>487</v>
      </c>
      <c r="O23" s="9" t="s">
        <v>488</v>
      </c>
      <c r="P23" s="9" t="s">
        <v>488</v>
      </c>
      <c r="Q23" s="9" t="s">
        <v>487</v>
      </c>
      <c r="R23" s="9" t="s">
        <v>487</v>
      </c>
      <c r="S23" s="9" t="s">
        <v>487</v>
      </c>
      <c r="T23" s="9" t="s">
        <v>487</v>
      </c>
      <c r="U23" s="9" t="s">
        <v>487</v>
      </c>
      <c r="V23" s="9" t="s">
        <v>488</v>
      </c>
      <c r="W23" s="9" t="s">
        <v>487</v>
      </c>
      <c r="X23" s="9" t="s">
        <v>490</v>
      </c>
      <c r="Y23" s="9" t="s">
        <v>487</v>
      </c>
      <c r="Z23" s="9" t="s">
        <v>487</v>
      </c>
      <c r="AA23" s="9" t="s">
        <v>487</v>
      </c>
      <c r="AB23" s="9" t="s">
        <v>487</v>
      </c>
      <c r="AC23" s="9" t="s">
        <v>488</v>
      </c>
      <c r="AD23" s="9" t="s">
        <v>487</v>
      </c>
      <c r="AE23" s="9" t="s">
        <v>487</v>
      </c>
      <c r="AF23" s="9" t="s">
        <v>489</v>
      </c>
      <c r="AG23" s="9" t="s">
        <v>489</v>
      </c>
      <c r="AH23" s="9" t="s">
        <v>487</v>
      </c>
      <c r="AI23">
        <f t="shared" si="0"/>
        <v>23</v>
      </c>
      <c r="AJ23">
        <f t="shared" si="1"/>
        <v>1</v>
      </c>
      <c r="AK23">
        <f t="shared" si="2"/>
        <v>2</v>
      </c>
      <c r="AL23">
        <f t="shared" si="3"/>
        <v>0</v>
      </c>
      <c r="AM23">
        <f t="shared" si="4"/>
        <v>0</v>
      </c>
      <c r="AN23">
        <f t="shared" si="5"/>
        <v>0</v>
      </c>
      <c r="AO23">
        <f t="shared" si="6"/>
        <v>25</v>
      </c>
      <c r="AP23" s="66">
        <f t="shared" si="7"/>
        <v>96.15384615384616</v>
      </c>
    </row>
    <row r="24" spans="1:42">
      <c r="A24" t="s">
        <v>32</v>
      </c>
      <c r="B24" t="str">
        <f>_xlfn.XLOOKUP(A24,Table1[Emp_ID],Table1[Full_Name ])</f>
        <v>Rajat</v>
      </c>
      <c r="C24" t="str">
        <f>_xlfn.XLOOKUP(A24,Table1[Emp_ID],Table1[Department])</f>
        <v>Operations</v>
      </c>
      <c r="D24" s="9" t="s">
        <v>487</v>
      </c>
      <c r="E24" s="9" t="s">
        <v>487</v>
      </c>
      <c r="F24" s="9" t="s">
        <v>487</v>
      </c>
      <c r="G24" s="9" t="s">
        <v>491</v>
      </c>
      <c r="H24" s="9" t="s">
        <v>488</v>
      </c>
      <c r="I24" s="9" t="s">
        <v>487</v>
      </c>
      <c r="J24" s="9" t="s">
        <v>487</v>
      </c>
      <c r="K24" s="9" t="s">
        <v>489</v>
      </c>
      <c r="L24" s="9" t="s">
        <v>489</v>
      </c>
      <c r="M24" s="9" t="s">
        <v>487</v>
      </c>
      <c r="N24" s="9" t="s">
        <v>487</v>
      </c>
      <c r="O24" s="9" t="s">
        <v>488</v>
      </c>
      <c r="P24" s="9" t="s">
        <v>488</v>
      </c>
      <c r="Q24" s="9" t="s">
        <v>487</v>
      </c>
      <c r="R24" s="9" t="s">
        <v>487</v>
      </c>
      <c r="S24" s="9" t="s">
        <v>491</v>
      </c>
      <c r="T24" s="9" t="s">
        <v>491</v>
      </c>
      <c r="U24" s="9" t="s">
        <v>487</v>
      </c>
      <c r="V24" s="9" t="s">
        <v>488</v>
      </c>
      <c r="W24" s="9" t="s">
        <v>487</v>
      </c>
      <c r="X24" s="9" t="s">
        <v>487</v>
      </c>
      <c r="Y24" s="9" t="s">
        <v>487</v>
      </c>
      <c r="Z24" s="9" t="s">
        <v>487</v>
      </c>
      <c r="AA24" s="9" t="s">
        <v>487</v>
      </c>
      <c r="AB24" s="9" t="s">
        <v>487</v>
      </c>
      <c r="AC24" s="9" t="s">
        <v>488</v>
      </c>
      <c r="AD24" s="9" t="s">
        <v>487</v>
      </c>
      <c r="AE24" s="9" t="s">
        <v>487</v>
      </c>
      <c r="AF24" s="9" t="s">
        <v>487</v>
      </c>
      <c r="AG24" s="9" t="s">
        <v>487</v>
      </c>
      <c r="AH24" s="9" t="s">
        <v>487</v>
      </c>
      <c r="AI24">
        <f t="shared" si="0"/>
        <v>21</v>
      </c>
      <c r="AJ24">
        <f t="shared" si="1"/>
        <v>0</v>
      </c>
      <c r="AK24">
        <f t="shared" si="2"/>
        <v>2</v>
      </c>
      <c r="AL24">
        <f t="shared" si="3"/>
        <v>3</v>
      </c>
      <c r="AM24">
        <f t="shared" si="4"/>
        <v>0</v>
      </c>
      <c r="AN24">
        <f t="shared" si="5"/>
        <v>0</v>
      </c>
      <c r="AO24">
        <f t="shared" si="6"/>
        <v>26</v>
      </c>
      <c r="AP24" s="66">
        <f t="shared" si="7"/>
        <v>100</v>
      </c>
    </row>
    <row r="25" spans="1:42">
      <c r="A25" t="s">
        <v>33</v>
      </c>
      <c r="B25" t="str">
        <f>_xlfn.XLOOKUP(A25,Table1[Emp_ID],Table1[Full_Name ])</f>
        <v>Rakesh</v>
      </c>
      <c r="C25" t="str">
        <f>_xlfn.XLOOKUP(A25,Table1[Emp_ID],Table1[Department])</f>
        <v>Operations</v>
      </c>
      <c r="D25" s="9" t="s">
        <v>487</v>
      </c>
      <c r="E25" s="9" t="s">
        <v>487</v>
      </c>
      <c r="F25" s="9" t="s">
        <v>487</v>
      </c>
      <c r="G25" s="9" t="s">
        <v>487</v>
      </c>
      <c r="H25" s="9" t="s">
        <v>488</v>
      </c>
      <c r="I25" s="9" t="s">
        <v>487</v>
      </c>
      <c r="J25" s="9" t="s">
        <v>487</v>
      </c>
      <c r="K25" s="9" t="s">
        <v>487</v>
      </c>
      <c r="L25" s="9" t="s">
        <v>487</v>
      </c>
      <c r="M25" s="9" t="s">
        <v>487</v>
      </c>
      <c r="N25" s="9" t="s">
        <v>487</v>
      </c>
      <c r="O25" s="9" t="s">
        <v>488</v>
      </c>
      <c r="P25" s="9" t="s">
        <v>488</v>
      </c>
      <c r="Q25" s="9" t="s">
        <v>487</v>
      </c>
      <c r="R25" s="9" t="s">
        <v>487</v>
      </c>
      <c r="S25" s="9" t="s">
        <v>487</v>
      </c>
      <c r="T25" s="9" t="s">
        <v>487</v>
      </c>
      <c r="U25" s="9" t="s">
        <v>487</v>
      </c>
      <c r="V25" s="9" t="s">
        <v>488</v>
      </c>
      <c r="W25" s="9" t="s">
        <v>487</v>
      </c>
      <c r="X25" s="9" t="s">
        <v>487</v>
      </c>
      <c r="Y25" s="9" t="s">
        <v>487</v>
      </c>
      <c r="Z25" s="9" t="s">
        <v>487</v>
      </c>
      <c r="AA25" s="9" t="s">
        <v>487</v>
      </c>
      <c r="AB25" s="9" t="s">
        <v>487</v>
      </c>
      <c r="AC25" s="9" t="s">
        <v>488</v>
      </c>
      <c r="AD25" s="9" t="s">
        <v>487</v>
      </c>
      <c r="AE25" s="9" t="s">
        <v>490</v>
      </c>
      <c r="AF25" s="9" t="s">
        <v>487</v>
      </c>
      <c r="AG25" s="9" t="s">
        <v>487</v>
      </c>
      <c r="AH25" s="9" t="s">
        <v>487</v>
      </c>
      <c r="AI25">
        <f t="shared" si="0"/>
        <v>25</v>
      </c>
      <c r="AJ25">
        <f t="shared" si="1"/>
        <v>1</v>
      </c>
      <c r="AK25">
        <f t="shared" si="2"/>
        <v>0</v>
      </c>
      <c r="AL25">
        <f t="shared" si="3"/>
        <v>0</v>
      </c>
      <c r="AM25">
        <f t="shared" si="4"/>
        <v>0</v>
      </c>
      <c r="AN25">
        <f t="shared" si="5"/>
        <v>0</v>
      </c>
      <c r="AO25">
        <f t="shared" si="6"/>
        <v>25</v>
      </c>
      <c r="AP25" s="66">
        <f t="shared" si="7"/>
        <v>96.15384615384616</v>
      </c>
    </row>
    <row r="26" spans="1:42">
      <c r="A26" t="s">
        <v>34</v>
      </c>
      <c r="B26" t="str">
        <f>_xlfn.XLOOKUP(A26,Table1[Emp_ID],Table1[Full_Name ])</f>
        <v>Rahul</v>
      </c>
      <c r="C26" t="str">
        <f>_xlfn.XLOOKUP(A26,Table1[Emp_ID],Table1[Department])</f>
        <v>Operations</v>
      </c>
      <c r="D26" s="9" t="s">
        <v>487</v>
      </c>
      <c r="E26" s="9" t="s">
        <v>487</v>
      </c>
      <c r="F26" s="9" t="s">
        <v>487</v>
      </c>
      <c r="G26" s="9" t="s">
        <v>487</v>
      </c>
      <c r="H26" s="9" t="s">
        <v>488</v>
      </c>
      <c r="I26" s="9" t="s">
        <v>487</v>
      </c>
      <c r="J26" s="9" t="s">
        <v>490</v>
      </c>
      <c r="K26" s="9" t="s">
        <v>487</v>
      </c>
      <c r="L26" s="9" t="s">
        <v>487</v>
      </c>
      <c r="M26" s="9" t="s">
        <v>487</v>
      </c>
      <c r="N26" s="9" t="s">
        <v>487</v>
      </c>
      <c r="O26" s="9" t="s">
        <v>488</v>
      </c>
      <c r="P26" s="9" t="s">
        <v>488</v>
      </c>
      <c r="Q26" s="9" t="s">
        <v>487</v>
      </c>
      <c r="R26" s="9" t="s">
        <v>487</v>
      </c>
      <c r="S26" s="9" t="s">
        <v>487</v>
      </c>
      <c r="T26" s="9" t="s">
        <v>487</v>
      </c>
      <c r="U26" s="9" t="s">
        <v>487</v>
      </c>
      <c r="V26" s="9" t="s">
        <v>488</v>
      </c>
      <c r="W26" s="9" t="s">
        <v>487</v>
      </c>
      <c r="X26" s="9" t="s">
        <v>487</v>
      </c>
      <c r="Y26" s="9" t="s">
        <v>487</v>
      </c>
      <c r="Z26" s="9" t="s">
        <v>487</v>
      </c>
      <c r="AA26" s="9" t="s">
        <v>487</v>
      </c>
      <c r="AB26" s="9" t="s">
        <v>487</v>
      </c>
      <c r="AC26" s="9" t="s">
        <v>488</v>
      </c>
      <c r="AD26" s="9" t="s">
        <v>487</v>
      </c>
      <c r="AE26" s="9" t="s">
        <v>487</v>
      </c>
      <c r="AF26" s="9" t="s">
        <v>487</v>
      </c>
      <c r="AG26" s="9" t="s">
        <v>487</v>
      </c>
      <c r="AH26" s="9" t="s">
        <v>487</v>
      </c>
      <c r="AI26">
        <f t="shared" si="0"/>
        <v>25</v>
      </c>
      <c r="AJ26">
        <f t="shared" si="1"/>
        <v>1</v>
      </c>
      <c r="AK26">
        <f t="shared" si="2"/>
        <v>0</v>
      </c>
      <c r="AL26">
        <f t="shared" si="3"/>
        <v>0</v>
      </c>
      <c r="AM26">
        <f t="shared" si="4"/>
        <v>0</v>
      </c>
      <c r="AN26">
        <f t="shared" si="5"/>
        <v>0</v>
      </c>
      <c r="AO26">
        <f t="shared" si="6"/>
        <v>25</v>
      </c>
      <c r="AP26" s="66">
        <f t="shared" si="7"/>
        <v>96.15384615384616</v>
      </c>
    </row>
    <row r="27" spans="1:42">
      <c r="A27" t="s">
        <v>35</v>
      </c>
      <c r="B27" t="str">
        <f>_xlfn.XLOOKUP(A27,Table1[Emp_ID],Table1[Full_Name ])</f>
        <v>Amit</v>
      </c>
      <c r="C27" t="str">
        <f>_xlfn.XLOOKUP(A27,Table1[Emp_ID],Table1[Department])</f>
        <v>Operations</v>
      </c>
      <c r="D27" s="9" t="s">
        <v>487</v>
      </c>
      <c r="E27" s="9" t="s">
        <v>487</v>
      </c>
      <c r="F27" s="9" t="s">
        <v>487</v>
      </c>
      <c r="G27" s="9" t="s">
        <v>487</v>
      </c>
      <c r="H27" s="9" t="s">
        <v>488</v>
      </c>
      <c r="I27" s="9" t="s">
        <v>487</v>
      </c>
      <c r="J27" s="9" t="s">
        <v>487</v>
      </c>
      <c r="K27" s="9" t="s">
        <v>487</v>
      </c>
      <c r="L27" s="9" t="s">
        <v>487</v>
      </c>
      <c r="M27" s="9" t="s">
        <v>487</v>
      </c>
      <c r="N27" s="9" t="s">
        <v>487</v>
      </c>
      <c r="O27" s="9" t="s">
        <v>488</v>
      </c>
      <c r="P27" s="9" t="s">
        <v>488</v>
      </c>
      <c r="Q27" s="9" t="s">
        <v>487</v>
      </c>
      <c r="R27" s="9" t="s">
        <v>487</v>
      </c>
      <c r="S27" s="9" t="s">
        <v>487</v>
      </c>
      <c r="T27" s="9" t="s">
        <v>487</v>
      </c>
      <c r="U27" s="9" t="s">
        <v>487</v>
      </c>
      <c r="V27" s="9" t="s">
        <v>488</v>
      </c>
      <c r="W27" s="9" t="s">
        <v>487</v>
      </c>
      <c r="X27" s="9" t="s">
        <v>487</v>
      </c>
      <c r="Y27" s="9" t="s">
        <v>487</v>
      </c>
      <c r="Z27" s="9" t="s">
        <v>487</v>
      </c>
      <c r="AA27" s="9" t="s">
        <v>487</v>
      </c>
      <c r="AB27" s="9" t="s">
        <v>487</v>
      </c>
      <c r="AC27" s="9" t="s">
        <v>488</v>
      </c>
      <c r="AD27" s="9" t="s">
        <v>487</v>
      </c>
      <c r="AE27" s="9" t="s">
        <v>487</v>
      </c>
      <c r="AF27" s="9" t="s">
        <v>487</v>
      </c>
      <c r="AG27" s="9" t="s">
        <v>487</v>
      </c>
      <c r="AH27" s="9" t="s">
        <v>487</v>
      </c>
      <c r="AI27">
        <f t="shared" si="0"/>
        <v>26</v>
      </c>
      <c r="AJ27">
        <f t="shared" si="1"/>
        <v>0</v>
      </c>
      <c r="AK27">
        <f t="shared" si="2"/>
        <v>0</v>
      </c>
      <c r="AL27">
        <f t="shared" si="3"/>
        <v>0</v>
      </c>
      <c r="AM27">
        <f t="shared" si="4"/>
        <v>0</v>
      </c>
      <c r="AN27">
        <f t="shared" si="5"/>
        <v>0</v>
      </c>
      <c r="AO27">
        <f t="shared" si="6"/>
        <v>26</v>
      </c>
      <c r="AP27" s="66">
        <f t="shared" si="7"/>
        <v>100</v>
      </c>
    </row>
    <row r="28" spans="1:42">
      <c r="A28" t="s">
        <v>36</v>
      </c>
      <c r="B28" t="str">
        <f>_xlfn.XLOOKUP(A28,Table1[Emp_ID],Table1[Full_Name ])</f>
        <v>Vikas</v>
      </c>
      <c r="C28" t="str">
        <f>_xlfn.XLOOKUP(A28,Table1[Emp_ID],Table1[Department])</f>
        <v>Operations</v>
      </c>
      <c r="D28" s="9" t="s">
        <v>487</v>
      </c>
      <c r="E28" s="9" t="s">
        <v>487</v>
      </c>
      <c r="F28" s="9" t="s">
        <v>487</v>
      </c>
      <c r="G28" s="9" t="s">
        <v>487</v>
      </c>
      <c r="H28" s="9" t="s">
        <v>488</v>
      </c>
      <c r="I28" s="9" t="s">
        <v>487</v>
      </c>
      <c r="J28" s="9" t="s">
        <v>487</v>
      </c>
      <c r="K28" s="9" t="s">
        <v>487</v>
      </c>
      <c r="L28" s="9" t="s">
        <v>487</v>
      </c>
      <c r="M28" s="9" t="s">
        <v>487</v>
      </c>
      <c r="N28" s="9" t="s">
        <v>487</v>
      </c>
      <c r="O28" s="9" t="s">
        <v>488</v>
      </c>
      <c r="P28" s="9" t="s">
        <v>488</v>
      </c>
      <c r="Q28" s="9" t="s">
        <v>487</v>
      </c>
      <c r="R28" s="9" t="s">
        <v>487</v>
      </c>
      <c r="S28" s="9" t="s">
        <v>487</v>
      </c>
      <c r="T28" s="9" t="s">
        <v>487</v>
      </c>
      <c r="U28" s="9" t="s">
        <v>487</v>
      </c>
      <c r="V28" s="9" t="s">
        <v>488</v>
      </c>
      <c r="W28" s="9" t="s">
        <v>487</v>
      </c>
      <c r="X28" s="9" t="s">
        <v>487</v>
      </c>
      <c r="Y28" s="9" t="s">
        <v>487</v>
      </c>
      <c r="Z28" s="9" t="s">
        <v>487</v>
      </c>
      <c r="AA28" s="9" t="s">
        <v>487</v>
      </c>
      <c r="AB28" s="9" t="s">
        <v>487</v>
      </c>
      <c r="AC28" s="9" t="s">
        <v>488</v>
      </c>
      <c r="AD28" s="9" t="s">
        <v>487</v>
      </c>
      <c r="AE28" s="9" t="s">
        <v>487</v>
      </c>
      <c r="AF28" s="9" t="s">
        <v>487</v>
      </c>
      <c r="AG28" s="9" t="s">
        <v>487</v>
      </c>
      <c r="AH28" s="9" t="s">
        <v>487</v>
      </c>
      <c r="AI28">
        <f t="shared" si="0"/>
        <v>26</v>
      </c>
      <c r="AJ28">
        <f t="shared" si="1"/>
        <v>0</v>
      </c>
      <c r="AK28">
        <f t="shared" si="2"/>
        <v>0</v>
      </c>
      <c r="AL28">
        <f t="shared" si="3"/>
        <v>0</v>
      </c>
      <c r="AM28">
        <f t="shared" si="4"/>
        <v>0</v>
      </c>
      <c r="AN28">
        <f t="shared" si="5"/>
        <v>0</v>
      </c>
      <c r="AO28">
        <f t="shared" si="6"/>
        <v>26</v>
      </c>
      <c r="AP28" s="66">
        <f t="shared" si="7"/>
        <v>100</v>
      </c>
    </row>
    <row r="29" spans="1:42">
      <c r="A29" t="s">
        <v>37</v>
      </c>
      <c r="B29" t="str">
        <f>_xlfn.XLOOKUP(A29,Table1[Emp_ID],Table1[Full_Name ])</f>
        <v>Manish</v>
      </c>
      <c r="C29" t="str">
        <f>_xlfn.XLOOKUP(A29,Table1[Emp_ID],Table1[Department])</f>
        <v>Operations</v>
      </c>
      <c r="D29" s="9" t="s">
        <v>490</v>
      </c>
      <c r="E29" s="9" t="s">
        <v>487</v>
      </c>
      <c r="F29" s="9" t="s">
        <v>487</v>
      </c>
      <c r="G29" s="9" t="s">
        <v>487</v>
      </c>
      <c r="H29" s="9" t="s">
        <v>488</v>
      </c>
      <c r="I29" s="9" t="s">
        <v>487</v>
      </c>
      <c r="J29" s="9" t="s">
        <v>487</v>
      </c>
      <c r="K29" s="9" t="s">
        <v>487</v>
      </c>
      <c r="L29" s="9" t="s">
        <v>487</v>
      </c>
      <c r="M29" s="9" t="s">
        <v>487</v>
      </c>
      <c r="N29" s="9" t="s">
        <v>490</v>
      </c>
      <c r="O29" s="9" t="s">
        <v>488</v>
      </c>
      <c r="P29" s="9" t="s">
        <v>488</v>
      </c>
      <c r="Q29" s="9" t="s">
        <v>487</v>
      </c>
      <c r="R29" s="9" t="s">
        <v>487</v>
      </c>
      <c r="S29" s="9" t="s">
        <v>487</v>
      </c>
      <c r="T29" s="9" t="s">
        <v>487</v>
      </c>
      <c r="U29" s="9" t="s">
        <v>487</v>
      </c>
      <c r="V29" s="9" t="s">
        <v>488</v>
      </c>
      <c r="W29" s="9" t="s">
        <v>487</v>
      </c>
      <c r="X29" s="9" t="s">
        <v>487</v>
      </c>
      <c r="Y29" s="9" t="s">
        <v>487</v>
      </c>
      <c r="Z29" s="9" t="s">
        <v>487</v>
      </c>
      <c r="AA29" s="9" t="s">
        <v>487</v>
      </c>
      <c r="AB29" s="9" t="s">
        <v>487</v>
      </c>
      <c r="AC29" s="9" t="s">
        <v>488</v>
      </c>
      <c r="AD29" s="9" t="s">
        <v>491</v>
      </c>
      <c r="AE29" s="9" t="s">
        <v>491</v>
      </c>
      <c r="AF29" s="9" t="s">
        <v>487</v>
      </c>
      <c r="AG29" s="9" t="s">
        <v>487</v>
      </c>
      <c r="AH29" s="9" t="s">
        <v>487</v>
      </c>
      <c r="AI29">
        <f t="shared" si="0"/>
        <v>22</v>
      </c>
      <c r="AJ29">
        <f t="shared" si="1"/>
        <v>2</v>
      </c>
      <c r="AK29">
        <f t="shared" si="2"/>
        <v>0</v>
      </c>
      <c r="AL29">
        <f t="shared" si="3"/>
        <v>2</v>
      </c>
      <c r="AM29">
        <f t="shared" si="4"/>
        <v>0</v>
      </c>
      <c r="AN29">
        <f t="shared" si="5"/>
        <v>0</v>
      </c>
      <c r="AO29">
        <f t="shared" si="6"/>
        <v>24</v>
      </c>
      <c r="AP29" s="66">
        <f t="shared" si="7"/>
        <v>92.307692307692307</v>
      </c>
    </row>
    <row r="30" spans="1:42">
      <c r="A30" t="s">
        <v>38</v>
      </c>
      <c r="B30" t="str">
        <f>_xlfn.XLOOKUP(A30,Table1[Emp_ID],Table1[Full_Name ])</f>
        <v>Deepak</v>
      </c>
      <c r="C30" t="str">
        <f>_xlfn.XLOOKUP(A30,Table1[Emp_ID],Table1[Department])</f>
        <v>Operations</v>
      </c>
      <c r="D30" s="9" t="s">
        <v>487</v>
      </c>
      <c r="E30" s="9" t="s">
        <v>487</v>
      </c>
      <c r="F30" s="9" t="s">
        <v>487</v>
      </c>
      <c r="G30" s="9" t="s">
        <v>487</v>
      </c>
      <c r="H30" s="9" t="s">
        <v>488</v>
      </c>
      <c r="I30" s="9" t="s">
        <v>487</v>
      </c>
      <c r="J30" s="9" t="s">
        <v>491</v>
      </c>
      <c r="K30" s="9" t="s">
        <v>487</v>
      </c>
      <c r="L30" s="9" t="s">
        <v>487</v>
      </c>
      <c r="M30" s="9" t="s">
        <v>487</v>
      </c>
      <c r="N30" s="9" t="s">
        <v>487</v>
      </c>
      <c r="O30" s="9" t="s">
        <v>488</v>
      </c>
      <c r="P30" s="9" t="s">
        <v>488</v>
      </c>
      <c r="Q30" s="9" t="s">
        <v>487</v>
      </c>
      <c r="R30" s="9" t="s">
        <v>487</v>
      </c>
      <c r="S30" s="9" t="s">
        <v>487</v>
      </c>
      <c r="T30" s="9" t="s">
        <v>490</v>
      </c>
      <c r="U30" s="9" t="s">
        <v>487</v>
      </c>
      <c r="V30" s="9" t="s">
        <v>488</v>
      </c>
      <c r="W30" s="9" t="s">
        <v>487</v>
      </c>
      <c r="X30" s="9" t="s">
        <v>487</v>
      </c>
      <c r="Y30" s="9" t="s">
        <v>487</v>
      </c>
      <c r="Z30" s="9" t="s">
        <v>487</v>
      </c>
      <c r="AA30" s="9" t="s">
        <v>487</v>
      </c>
      <c r="AB30" s="9" t="s">
        <v>487</v>
      </c>
      <c r="AC30" s="9" t="s">
        <v>488</v>
      </c>
      <c r="AD30" s="9" t="s">
        <v>487</v>
      </c>
      <c r="AE30" s="9" t="s">
        <v>487</v>
      </c>
      <c r="AF30" s="9" t="s">
        <v>487</v>
      </c>
      <c r="AG30" s="9" t="s">
        <v>487</v>
      </c>
      <c r="AH30" s="9" t="s">
        <v>487</v>
      </c>
      <c r="AI30">
        <f t="shared" si="0"/>
        <v>24</v>
      </c>
      <c r="AJ30">
        <f t="shared" si="1"/>
        <v>1</v>
      </c>
      <c r="AK30">
        <f t="shared" si="2"/>
        <v>0</v>
      </c>
      <c r="AL30">
        <f t="shared" si="3"/>
        <v>1</v>
      </c>
      <c r="AM30">
        <f t="shared" si="4"/>
        <v>0</v>
      </c>
      <c r="AN30">
        <f t="shared" si="5"/>
        <v>0</v>
      </c>
      <c r="AO30">
        <f t="shared" si="6"/>
        <v>25</v>
      </c>
      <c r="AP30" s="66">
        <f t="shared" si="7"/>
        <v>96.15384615384616</v>
      </c>
    </row>
    <row r="31" spans="1:42">
      <c r="A31" t="s">
        <v>39</v>
      </c>
      <c r="B31" t="str">
        <f>_xlfn.XLOOKUP(A31,Table1[Emp_ID],Table1[Full_Name ])</f>
        <v>Sandeep</v>
      </c>
      <c r="C31" t="str">
        <f>_xlfn.XLOOKUP(A31,Table1[Emp_ID],Table1[Department])</f>
        <v>Operations</v>
      </c>
      <c r="D31" s="9" t="s">
        <v>487</v>
      </c>
      <c r="E31" s="9" t="s">
        <v>487</v>
      </c>
      <c r="F31" s="9" t="s">
        <v>487</v>
      </c>
      <c r="G31" s="9" t="s">
        <v>487</v>
      </c>
      <c r="H31" s="9" t="s">
        <v>488</v>
      </c>
      <c r="I31" s="9" t="s">
        <v>487</v>
      </c>
      <c r="J31" s="9" t="s">
        <v>487</v>
      </c>
      <c r="K31" s="9" t="s">
        <v>490</v>
      </c>
      <c r="L31" s="9" t="s">
        <v>487</v>
      </c>
      <c r="M31" s="9" t="s">
        <v>487</v>
      </c>
      <c r="N31" s="9" t="s">
        <v>487</v>
      </c>
      <c r="O31" s="9" t="s">
        <v>488</v>
      </c>
      <c r="P31" s="9" t="s">
        <v>488</v>
      </c>
      <c r="Q31" s="9" t="s">
        <v>487</v>
      </c>
      <c r="R31" s="9" t="s">
        <v>487</v>
      </c>
      <c r="S31" s="9" t="s">
        <v>487</v>
      </c>
      <c r="T31" s="9" t="s">
        <v>487</v>
      </c>
      <c r="U31" s="9" t="s">
        <v>487</v>
      </c>
      <c r="V31" s="9" t="s">
        <v>488</v>
      </c>
      <c r="W31" s="9" t="s">
        <v>487</v>
      </c>
      <c r="X31" s="9" t="s">
        <v>487</v>
      </c>
      <c r="Y31" s="9" t="s">
        <v>487</v>
      </c>
      <c r="Z31" s="9" t="s">
        <v>487</v>
      </c>
      <c r="AA31" s="9" t="s">
        <v>487</v>
      </c>
      <c r="AB31" s="9" t="s">
        <v>487</v>
      </c>
      <c r="AC31" s="9" t="s">
        <v>488</v>
      </c>
      <c r="AD31" s="9" t="s">
        <v>487</v>
      </c>
      <c r="AE31" s="9" t="s">
        <v>487</v>
      </c>
      <c r="AF31" s="9" t="s">
        <v>487</v>
      </c>
      <c r="AG31" s="9" t="s">
        <v>487</v>
      </c>
      <c r="AH31" s="9" t="s">
        <v>487</v>
      </c>
      <c r="AI31">
        <f t="shared" si="0"/>
        <v>25</v>
      </c>
      <c r="AJ31">
        <f t="shared" si="1"/>
        <v>1</v>
      </c>
      <c r="AK31">
        <f t="shared" si="2"/>
        <v>0</v>
      </c>
      <c r="AL31">
        <f t="shared" si="3"/>
        <v>0</v>
      </c>
      <c r="AM31">
        <f t="shared" si="4"/>
        <v>0</v>
      </c>
      <c r="AN31">
        <f t="shared" si="5"/>
        <v>0</v>
      </c>
      <c r="AO31">
        <f t="shared" si="6"/>
        <v>25</v>
      </c>
      <c r="AP31" s="66">
        <f t="shared" si="7"/>
        <v>96.15384615384616</v>
      </c>
    </row>
    <row r="32" spans="1:42">
      <c r="A32" t="s">
        <v>40</v>
      </c>
      <c r="B32" t="str">
        <f>_xlfn.XLOOKUP(A32,Table1[Emp_ID],Table1[Full_Name ])</f>
        <v>Pankaj</v>
      </c>
      <c r="C32" t="str">
        <f>_xlfn.XLOOKUP(A32,Table1[Emp_ID],Table1[Department])</f>
        <v>Operations</v>
      </c>
      <c r="D32" s="9" t="s">
        <v>487</v>
      </c>
      <c r="E32" s="9" t="s">
        <v>487</v>
      </c>
      <c r="F32" s="9" t="s">
        <v>487</v>
      </c>
      <c r="G32" s="9" t="s">
        <v>487</v>
      </c>
      <c r="H32" s="9" t="s">
        <v>488</v>
      </c>
      <c r="I32" s="9" t="s">
        <v>487</v>
      </c>
      <c r="J32" s="9" t="s">
        <v>487</v>
      </c>
      <c r="K32" s="9" t="s">
        <v>487</v>
      </c>
      <c r="L32" s="9" t="s">
        <v>487</v>
      </c>
      <c r="M32" s="9" t="s">
        <v>487</v>
      </c>
      <c r="N32" s="9" t="s">
        <v>487</v>
      </c>
      <c r="O32" s="9" t="s">
        <v>488</v>
      </c>
      <c r="P32" s="9" t="s">
        <v>488</v>
      </c>
      <c r="Q32" s="9" t="s">
        <v>487</v>
      </c>
      <c r="R32" s="9" t="s">
        <v>492</v>
      </c>
      <c r="S32" s="9" t="s">
        <v>487</v>
      </c>
      <c r="T32" s="9" t="s">
        <v>487</v>
      </c>
      <c r="U32" s="9" t="s">
        <v>487</v>
      </c>
      <c r="V32" s="9" t="s">
        <v>488</v>
      </c>
      <c r="W32" s="9" t="s">
        <v>487</v>
      </c>
      <c r="X32" s="9" t="s">
        <v>487</v>
      </c>
      <c r="Y32" s="9" t="s">
        <v>487</v>
      </c>
      <c r="Z32" s="9" t="s">
        <v>487</v>
      </c>
      <c r="AA32" s="9" t="s">
        <v>487</v>
      </c>
      <c r="AB32" s="9" t="s">
        <v>487</v>
      </c>
      <c r="AC32" s="9" t="s">
        <v>488</v>
      </c>
      <c r="AD32" s="9" t="s">
        <v>487</v>
      </c>
      <c r="AE32" s="9" t="s">
        <v>487</v>
      </c>
      <c r="AF32" s="9" t="s">
        <v>487</v>
      </c>
      <c r="AG32" s="9" t="s">
        <v>487</v>
      </c>
      <c r="AH32" s="9" t="s">
        <v>487</v>
      </c>
      <c r="AI32">
        <f t="shared" si="0"/>
        <v>25</v>
      </c>
      <c r="AJ32">
        <f t="shared" si="1"/>
        <v>0</v>
      </c>
      <c r="AK32">
        <f t="shared" si="2"/>
        <v>0</v>
      </c>
      <c r="AL32">
        <f t="shared" si="3"/>
        <v>0</v>
      </c>
      <c r="AM32">
        <f t="shared" si="4"/>
        <v>0</v>
      </c>
      <c r="AN32">
        <f t="shared" si="5"/>
        <v>1</v>
      </c>
      <c r="AO32">
        <f t="shared" si="6"/>
        <v>25</v>
      </c>
      <c r="AP32" s="66">
        <f t="shared" si="7"/>
        <v>96.15384615384616</v>
      </c>
    </row>
    <row r="33" spans="1:42">
      <c r="A33" t="s">
        <v>41</v>
      </c>
      <c r="B33" t="str">
        <f>_xlfn.XLOOKUP(A33,Table1[Emp_ID],Table1[Full_Name ])</f>
        <v>Gaurav</v>
      </c>
      <c r="C33" t="str">
        <f>_xlfn.XLOOKUP(A33,Table1[Emp_ID],Table1[Department])</f>
        <v>Operations</v>
      </c>
      <c r="D33" s="9" t="s">
        <v>487</v>
      </c>
      <c r="E33" s="9" t="s">
        <v>487</v>
      </c>
      <c r="F33" s="9" t="s">
        <v>487</v>
      </c>
      <c r="G33" s="9" t="s">
        <v>487</v>
      </c>
      <c r="H33" s="9" t="s">
        <v>488</v>
      </c>
      <c r="I33" s="9" t="s">
        <v>487</v>
      </c>
      <c r="J33" s="9" t="s">
        <v>487</v>
      </c>
      <c r="K33" s="9" t="s">
        <v>487</v>
      </c>
      <c r="L33" s="9" t="s">
        <v>487</v>
      </c>
      <c r="M33" s="9" t="s">
        <v>487</v>
      </c>
      <c r="N33" s="9" t="s">
        <v>487</v>
      </c>
      <c r="O33" s="9" t="s">
        <v>488</v>
      </c>
      <c r="P33" s="9" t="s">
        <v>488</v>
      </c>
      <c r="Q33" s="9" t="s">
        <v>487</v>
      </c>
      <c r="R33" s="9" t="s">
        <v>487</v>
      </c>
      <c r="S33" s="9" t="s">
        <v>487</v>
      </c>
      <c r="T33" s="9" t="s">
        <v>487</v>
      </c>
      <c r="U33" s="9" t="s">
        <v>487</v>
      </c>
      <c r="V33" s="9" t="s">
        <v>488</v>
      </c>
      <c r="W33" s="9" t="s">
        <v>487</v>
      </c>
      <c r="X33" s="9" t="s">
        <v>487</v>
      </c>
      <c r="Y33" s="9" t="s">
        <v>487</v>
      </c>
      <c r="Z33" s="9" t="s">
        <v>487</v>
      </c>
      <c r="AA33" s="9" t="s">
        <v>487</v>
      </c>
      <c r="AB33" s="9" t="s">
        <v>487</v>
      </c>
      <c r="AC33" s="9" t="s">
        <v>488</v>
      </c>
      <c r="AD33" s="9" t="s">
        <v>487</v>
      </c>
      <c r="AE33" s="9" t="s">
        <v>487</v>
      </c>
      <c r="AF33" s="9" t="s">
        <v>487</v>
      </c>
      <c r="AG33" s="9" t="s">
        <v>487</v>
      </c>
      <c r="AH33" s="9" t="s">
        <v>487</v>
      </c>
      <c r="AI33">
        <f t="shared" si="0"/>
        <v>26</v>
      </c>
      <c r="AJ33">
        <f t="shared" si="1"/>
        <v>0</v>
      </c>
      <c r="AK33">
        <f t="shared" si="2"/>
        <v>0</v>
      </c>
      <c r="AL33">
        <f t="shared" si="3"/>
        <v>0</v>
      </c>
      <c r="AM33">
        <f t="shared" si="4"/>
        <v>0</v>
      </c>
      <c r="AN33">
        <f t="shared" si="5"/>
        <v>0</v>
      </c>
      <c r="AO33">
        <f t="shared" si="6"/>
        <v>26</v>
      </c>
      <c r="AP33" s="66">
        <f t="shared" si="7"/>
        <v>100</v>
      </c>
    </row>
    <row r="34" spans="1:42">
      <c r="A34" t="s">
        <v>42</v>
      </c>
      <c r="B34" t="str">
        <f>_xlfn.XLOOKUP(A34,Table1[Emp_ID],Table1[Full_Name ])</f>
        <v>Abhishek</v>
      </c>
      <c r="C34" t="str">
        <f>_xlfn.XLOOKUP(A34,Table1[Emp_ID],Table1[Department])</f>
        <v>Operations</v>
      </c>
      <c r="D34" s="9" t="s">
        <v>487</v>
      </c>
      <c r="E34" s="9" t="s">
        <v>493</v>
      </c>
      <c r="F34" s="9" t="s">
        <v>493</v>
      </c>
      <c r="G34" s="9" t="s">
        <v>493</v>
      </c>
      <c r="H34" s="9" t="s">
        <v>488</v>
      </c>
      <c r="I34" s="9" t="s">
        <v>487</v>
      </c>
      <c r="J34" s="9" t="s">
        <v>487</v>
      </c>
      <c r="K34" s="9" t="s">
        <v>487</v>
      </c>
      <c r="L34" s="9" t="s">
        <v>487</v>
      </c>
      <c r="M34" s="9" t="s">
        <v>487</v>
      </c>
      <c r="N34" s="9" t="s">
        <v>487</v>
      </c>
      <c r="O34" s="9" t="s">
        <v>488</v>
      </c>
      <c r="P34" s="9" t="s">
        <v>488</v>
      </c>
      <c r="Q34" s="9" t="s">
        <v>487</v>
      </c>
      <c r="R34" s="9" t="s">
        <v>487</v>
      </c>
      <c r="S34" s="9" t="s">
        <v>490</v>
      </c>
      <c r="T34" s="9" t="s">
        <v>487</v>
      </c>
      <c r="U34" s="9" t="s">
        <v>487</v>
      </c>
      <c r="V34" s="9" t="s">
        <v>488</v>
      </c>
      <c r="W34" s="9" t="s">
        <v>487</v>
      </c>
      <c r="X34" s="9" t="s">
        <v>487</v>
      </c>
      <c r="Y34" s="9" t="s">
        <v>487</v>
      </c>
      <c r="Z34" s="9" t="s">
        <v>487</v>
      </c>
      <c r="AA34" s="9" t="s">
        <v>487</v>
      </c>
      <c r="AB34" s="9" t="s">
        <v>487</v>
      </c>
      <c r="AC34" s="9" t="s">
        <v>488</v>
      </c>
      <c r="AD34" s="9" t="s">
        <v>487</v>
      </c>
      <c r="AE34" s="9" t="s">
        <v>493</v>
      </c>
      <c r="AF34" s="9" t="s">
        <v>493</v>
      </c>
      <c r="AG34" s="9" t="s">
        <v>493</v>
      </c>
      <c r="AH34" s="9" t="s">
        <v>493</v>
      </c>
      <c r="AI34">
        <f t="shared" ref="AI34:AI65" si="8">COUNTIF(D34:AH34,"P")</f>
        <v>18</v>
      </c>
      <c r="AJ34">
        <f t="shared" ref="AJ34:AJ65" si="9">COUNTIF(D34:AH34,"A")</f>
        <v>1</v>
      </c>
      <c r="AK34">
        <f t="shared" ref="AK34:AK65" si="10">COUNTIF(D34:AH34,"CL")</f>
        <v>0</v>
      </c>
      <c r="AL34">
        <f t="shared" ref="AL34:AL65" si="11">COUNTIF(D34:AH34,"SL")</f>
        <v>0</v>
      </c>
      <c r="AM34">
        <f t="shared" ref="AM34:AM65" si="12">COUNTIF(D34:AH34,"EL")</f>
        <v>7</v>
      </c>
      <c r="AN34">
        <f t="shared" ref="AN34:AN65" si="13">COUNTIF(D34:AH34,"L")</f>
        <v>0</v>
      </c>
      <c r="AO34">
        <f t="shared" ref="AO34:AO65" si="14">COUNTIF(D34:AH34,"P")+COUNTIF(D34:AH34,"CL")+COUNTIF(D34:AH34,"SL")+COUNTIF(D34:AH34,"EL")</f>
        <v>25</v>
      </c>
      <c r="AP34" s="66">
        <f t="shared" si="7"/>
        <v>96.15384615384616</v>
      </c>
    </row>
    <row r="35" spans="1:42">
      <c r="A35" t="s">
        <v>43</v>
      </c>
      <c r="B35" t="str">
        <f>_xlfn.XLOOKUP(A35,Table1[Emp_ID],Table1[Full_Name ])</f>
        <v>Varun</v>
      </c>
      <c r="C35" t="str">
        <f>_xlfn.XLOOKUP(A35,Table1[Emp_ID],Table1[Department])</f>
        <v>Warehouse</v>
      </c>
      <c r="D35" s="9" t="s">
        <v>487</v>
      </c>
      <c r="E35" s="9" t="s">
        <v>487</v>
      </c>
      <c r="F35" s="9" t="s">
        <v>487</v>
      </c>
      <c r="G35" s="9" t="s">
        <v>487</v>
      </c>
      <c r="H35" s="9" t="s">
        <v>488</v>
      </c>
      <c r="I35" s="9" t="s">
        <v>487</v>
      </c>
      <c r="J35" s="9" t="s">
        <v>491</v>
      </c>
      <c r="K35" s="9" t="s">
        <v>491</v>
      </c>
      <c r="L35" s="9" t="s">
        <v>487</v>
      </c>
      <c r="M35" s="9" t="s">
        <v>487</v>
      </c>
      <c r="N35" s="9" t="s">
        <v>487</v>
      </c>
      <c r="O35" s="9" t="s">
        <v>488</v>
      </c>
      <c r="P35" s="9" t="s">
        <v>488</v>
      </c>
      <c r="Q35" s="9" t="s">
        <v>487</v>
      </c>
      <c r="R35" s="9" t="s">
        <v>487</v>
      </c>
      <c r="S35" s="9" t="s">
        <v>487</v>
      </c>
      <c r="T35" s="9" t="s">
        <v>487</v>
      </c>
      <c r="U35" s="9" t="s">
        <v>487</v>
      </c>
      <c r="V35" s="9" t="s">
        <v>488</v>
      </c>
      <c r="W35" s="9" t="s">
        <v>487</v>
      </c>
      <c r="X35" s="9" t="s">
        <v>487</v>
      </c>
      <c r="Y35" s="9" t="s">
        <v>487</v>
      </c>
      <c r="Z35" s="9" t="s">
        <v>487</v>
      </c>
      <c r="AA35" s="9" t="s">
        <v>487</v>
      </c>
      <c r="AB35" s="9" t="s">
        <v>487</v>
      </c>
      <c r="AC35" s="9" t="s">
        <v>488</v>
      </c>
      <c r="AD35" s="9" t="s">
        <v>487</v>
      </c>
      <c r="AE35" s="9" t="s">
        <v>487</v>
      </c>
      <c r="AF35" s="9" t="s">
        <v>487</v>
      </c>
      <c r="AG35" s="9" t="s">
        <v>487</v>
      </c>
      <c r="AH35" s="9" t="s">
        <v>487</v>
      </c>
      <c r="AI35">
        <f t="shared" si="8"/>
        <v>24</v>
      </c>
      <c r="AJ35">
        <f t="shared" si="9"/>
        <v>0</v>
      </c>
      <c r="AK35">
        <f t="shared" si="10"/>
        <v>0</v>
      </c>
      <c r="AL35">
        <f t="shared" si="11"/>
        <v>2</v>
      </c>
      <c r="AM35">
        <f t="shared" si="12"/>
        <v>0</v>
      </c>
      <c r="AN35">
        <f t="shared" si="13"/>
        <v>0</v>
      </c>
      <c r="AO35">
        <f t="shared" si="14"/>
        <v>26</v>
      </c>
      <c r="AP35" s="66">
        <f t="shared" si="7"/>
        <v>100</v>
      </c>
    </row>
    <row r="36" spans="1:42">
      <c r="A36" t="s">
        <v>44</v>
      </c>
      <c r="B36" t="str">
        <f>_xlfn.XLOOKUP(A36,Table1[Emp_ID],Table1[Full_Name ])</f>
        <v>Tarun</v>
      </c>
      <c r="C36" t="str">
        <f>_xlfn.XLOOKUP(A36,Table1[Emp_ID],Table1[Department])</f>
        <v>Warehouse</v>
      </c>
      <c r="D36" s="9" t="s">
        <v>487</v>
      </c>
      <c r="E36" s="9" t="s">
        <v>487</v>
      </c>
      <c r="F36" s="9" t="s">
        <v>487</v>
      </c>
      <c r="G36" s="9" t="s">
        <v>487</v>
      </c>
      <c r="H36" s="9" t="s">
        <v>488</v>
      </c>
      <c r="I36" s="9" t="s">
        <v>487</v>
      </c>
      <c r="J36" s="9" t="s">
        <v>487</v>
      </c>
      <c r="K36" s="9" t="s">
        <v>487</v>
      </c>
      <c r="L36" s="9" t="s">
        <v>487</v>
      </c>
      <c r="M36" s="9" t="s">
        <v>487</v>
      </c>
      <c r="N36" s="9" t="s">
        <v>487</v>
      </c>
      <c r="O36" s="9" t="s">
        <v>488</v>
      </c>
      <c r="P36" s="9" t="s">
        <v>488</v>
      </c>
      <c r="Q36" s="9" t="s">
        <v>487</v>
      </c>
      <c r="R36" s="9" t="s">
        <v>487</v>
      </c>
      <c r="S36" s="9" t="s">
        <v>487</v>
      </c>
      <c r="T36" s="9" t="s">
        <v>487</v>
      </c>
      <c r="U36" s="9" t="s">
        <v>487</v>
      </c>
      <c r="V36" s="9" t="s">
        <v>488</v>
      </c>
      <c r="W36" s="9" t="s">
        <v>487</v>
      </c>
      <c r="X36" s="9" t="s">
        <v>487</v>
      </c>
      <c r="Y36" s="9" t="s">
        <v>487</v>
      </c>
      <c r="Z36" s="9" t="s">
        <v>487</v>
      </c>
      <c r="AA36" s="9" t="s">
        <v>487</v>
      </c>
      <c r="AB36" s="9" t="s">
        <v>487</v>
      </c>
      <c r="AC36" s="9" t="s">
        <v>488</v>
      </c>
      <c r="AD36" s="9" t="s">
        <v>487</v>
      </c>
      <c r="AE36" s="9" t="s">
        <v>487</v>
      </c>
      <c r="AF36" s="9" t="s">
        <v>487</v>
      </c>
      <c r="AG36" s="9" t="s">
        <v>487</v>
      </c>
      <c r="AH36" s="9" t="s">
        <v>487</v>
      </c>
      <c r="AI36">
        <f t="shared" si="8"/>
        <v>26</v>
      </c>
      <c r="AJ36">
        <f t="shared" si="9"/>
        <v>0</v>
      </c>
      <c r="AK36">
        <f t="shared" si="10"/>
        <v>0</v>
      </c>
      <c r="AL36">
        <f t="shared" si="11"/>
        <v>0</v>
      </c>
      <c r="AM36">
        <f t="shared" si="12"/>
        <v>0</v>
      </c>
      <c r="AN36">
        <f t="shared" si="13"/>
        <v>0</v>
      </c>
      <c r="AO36">
        <f t="shared" si="14"/>
        <v>26</v>
      </c>
      <c r="AP36" s="66">
        <f t="shared" si="7"/>
        <v>100</v>
      </c>
    </row>
    <row r="37" spans="1:42">
      <c r="A37" t="s">
        <v>45</v>
      </c>
      <c r="B37" t="str">
        <f>_xlfn.XLOOKUP(A37,Table1[Emp_ID],Table1[Full_Name ])</f>
        <v>Neeraj</v>
      </c>
      <c r="C37" t="str">
        <f>_xlfn.XLOOKUP(A37,Table1[Emp_ID],Table1[Department])</f>
        <v>Warehouse</v>
      </c>
      <c r="D37" s="9" t="s">
        <v>487</v>
      </c>
      <c r="E37" s="9" t="s">
        <v>487</v>
      </c>
      <c r="F37" s="9" t="s">
        <v>487</v>
      </c>
      <c r="G37" s="9" t="s">
        <v>487</v>
      </c>
      <c r="H37" s="9" t="s">
        <v>488</v>
      </c>
      <c r="I37" s="9" t="s">
        <v>487</v>
      </c>
      <c r="J37" s="9" t="s">
        <v>487</v>
      </c>
      <c r="K37" s="9" t="s">
        <v>487</v>
      </c>
      <c r="L37" s="9" t="s">
        <v>487</v>
      </c>
      <c r="M37" s="9" t="s">
        <v>487</v>
      </c>
      <c r="N37" s="9" t="s">
        <v>487</v>
      </c>
      <c r="O37" s="9" t="s">
        <v>488</v>
      </c>
      <c r="P37" s="9" t="s">
        <v>488</v>
      </c>
      <c r="Q37" s="9" t="s">
        <v>490</v>
      </c>
      <c r="R37" s="9" t="s">
        <v>487</v>
      </c>
      <c r="S37" s="9" t="s">
        <v>487</v>
      </c>
      <c r="T37" s="9" t="s">
        <v>487</v>
      </c>
      <c r="U37" s="9" t="s">
        <v>487</v>
      </c>
      <c r="V37" s="9" t="s">
        <v>488</v>
      </c>
      <c r="W37" s="9" t="s">
        <v>487</v>
      </c>
      <c r="X37" s="9" t="s">
        <v>487</v>
      </c>
      <c r="Y37" s="9" t="s">
        <v>489</v>
      </c>
      <c r="Z37" s="9" t="s">
        <v>489</v>
      </c>
      <c r="AA37" s="9" t="s">
        <v>487</v>
      </c>
      <c r="AB37" s="9" t="s">
        <v>487</v>
      </c>
      <c r="AC37" s="9" t="s">
        <v>488</v>
      </c>
      <c r="AD37" s="9" t="s">
        <v>487</v>
      </c>
      <c r="AE37" s="9" t="s">
        <v>487</v>
      </c>
      <c r="AF37" s="9" t="s">
        <v>487</v>
      </c>
      <c r="AG37" s="9" t="s">
        <v>487</v>
      </c>
      <c r="AH37" s="9" t="s">
        <v>487</v>
      </c>
      <c r="AI37">
        <f t="shared" si="8"/>
        <v>23</v>
      </c>
      <c r="AJ37">
        <f t="shared" si="9"/>
        <v>1</v>
      </c>
      <c r="AK37">
        <f t="shared" si="10"/>
        <v>2</v>
      </c>
      <c r="AL37">
        <f t="shared" si="11"/>
        <v>0</v>
      </c>
      <c r="AM37">
        <f t="shared" si="12"/>
        <v>0</v>
      </c>
      <c r="AN37">
        <f t="shared" si="13"/>
        <v>0</v>
      </c>
      <c r="AO37">
        <f t="shared" si="14"/>
        <v>25</v>
      </c>
      <c r="AP37" s="66">
        <f t="shared" si="7"/>
        <v>96.15384615384616</v>
      </c>
    </row>
    <row r="38" spans="1:42">
      <c r="A38" t="s">
        <v>46</v>
      </c>
      <c r="B38" t="str">
        <f>_xlfn.XLOOKUP(A38,Table1[Emp_ID],Table1[Full_Name ])</f>
        <v>Ajay</v>
      </c>
      <c r="C38" t="str">
        <f>_xlfn.XLOOKUP(A38,Table1[Emp_ID],Table1[Department])</f>
        <v>Warehouse</v>
      </c>
      <c r="D38" s="9" t="s">
        <v>493</v>
      </c>
      <c r="E38" s="9" t="s">
        <v>487</v>
      </c>
      <c r="F38" s="9" t="s">
        <v>487</v>
      </c>
      <c r="G38" s="9" t="s">
        <v>491</v>
      </c>
      <c r="H38" s="9" t="s">
        <v>488</v>
      </c>
      <c r="I38" s="9" t="s">
        <v>487</v>
      </c>
      <c r="J38" s="9" t="s">
        <v>487</v>
      </c>
      <c r="K38" s="9" t="s">
        <v>487</v>
      </c>
      <c r="L38" s="9" t="s">
        <v>487</v>
      </c>
      <c r="M38" s="9" t="s">
        <v>487</v>
      </c>
      <c r="N38" s="9" t="s">
        <v>487</v>
      </c>
      <c r="O38" s="9" t="s">
        <v>488</v>
      </c>
      <c r="P38" s="9" t="s">
        <v>488</v>
      </c>
      <c r="Q38" s="9" t="s">
        <v>487</v>
      </c>
      <c r="R38" s="9" t="s">
        <v>487</v>
      </c>
      <c r="S38" s="9" t="s">
        <v>487</v>
      </c>
      <c r="T38" s="9" t="s">
        <v>487</v>
      </c>
      <c r="U38" s="9" t="s">
        <v>487</v>
      </c>
      <c r="V38" s="9" t="s">
        <v>488</v>
      </c>
      <c r="W38" s="9" t="s">
        <v>487</v>
      </c>
      <c r="X38" s="9" t="s">
        <v>487</v>
      </c>
      <c r="Y38" s="9" t="s">
        <v>487</v>
      </c>
      <c r="Z38" s="9" t="s">
        <v>487</v>
      </c>
      <c r="AA38" s="9" t="s">
        <v>487</v>
      </c>
      <c r="AB38" s="9" t="s">
        <v>487</v>
      </c>
      <c r="AC38" s="9" t="s">
        <v>488</v>
      </c>
      <c r="AD38" s="9" t="s">
        <v>487</v>
      </c>
      <c r="AE38" s="9" t="s">
        <v>487</v>
      </c>
      <c r="AF38" s="9" t="s">
        <v>487</v>
      </c>
      <c r="AG38" s="9" t="s">
        <v>491</v>
      </c>
      <c r="AH38" s="9" t="s">
        <v>491</v>
      </c>
      <c r="AI38">
        <f t="shared" si="8"/>
        <v>22</v>
      </c>
      <c r="AJ38">
        <f t="shared" si="9"/>
        <v>0</v>
      </c>
      <c r="AK38">
        <f t="shared" si="10"/>
        <v>0</v>
      </c>
      <c r="AL38">
        <f t="shared" si="11"/>
        <v>3</v>
      </c>
      <c r="AM38">
        <f t="shared" si="12"/>
        <v>1</v>
      </c>
      <c r="AN38">
        <f t="shared" si="13"/>
        <v>0</v>
      </c>
      <c r="AO38">
        <f t="shared" si="14"/>
        <v>26</v>
      </c>
      <c r="AP38" s="66">
        <f t="shared" si="7"/>
        <v>100</v>
      </c>
    </row>
    <row r="39" spans="1:42">
      <c r="A39" t="s">
        <v>47</v>
      </c>
      <c r="B39" t="str">
        <f>_xlfn.XLOOKUP(A39,Table1[Emp_ID],Table1[Full_Name ])</f>
        <v>Vijay</v>
      </c>
      <c r="C39" t="str">
        <f>_xlfn.XLOOKUP(A39,Table1[Emp_ID],Table1[Department])</f>
        <v>Warehouse</v>
      </c>
      <c r="D39" s="9" t="s">
        <v>487</v>
      </c>
      <c r="E39" s="9" t="s">
        <v>487</v>
      </c>
      <c r="F39" s="9" t="s">
        <v>487</v>
      </c>
      <c r="G39" s="9" t="s">
        <v>487</v>
      </c>
      <c r="H39" s="9" t="s">
        <v>488</v>
      </c>
      <c r="I39" s="9" t="s">
        <v>487</v>
      </c>
      <c r="J39" s="9" t="s">
        <v>487</v>
      </c>
      <c r="K39" s="9" t="s">
        <v>487</v>
      </c>
      <c r="L39" s="9" t="s">
        <v>487</v>
      </c>
      <c r="M39" s="9" t="s">
        <v>487</v>
      </c>
      <c r="N39" s="9" t="s">
        <v>487</v>
      </c>
      <c r="O39" s="9" t="s">
        <v>488</v>
      </c>
      <c r="P39" s="9" t="s">
        <v>488</v>
      </c>
      <c r="Q39" s="9" t="s">
        <v>487</v>
      </c>
      <c r="R39" s="9" t="s">
        <v>487</v>
      </c>
      <c r="S39" s="9" t="s">
        <v>487</v>
      </c>
      <c r="T39" s="9" t="s">
        <v>487</v>
      </c>
      <c r="U39" s="9" t="s">
        <v>487</v>
      </c>
      <c r="V39" s="9" t="s">
        <v>488</v>
      </c>
      <c r="W39" s="9" t="s">
        <v>487</v>
      </c>
      <c r="X39" s="9" t="s">
        <v>490</v>
      </c>
      <c r="Y39" s="9" t="s">
        <v>487</v>
      </c>
      <c r="Z39" s="9" t="s">
        <v>487</v>
      </c>
      <c r="AA39" s="9" t="s">
        <v>487</v>
      </c>
      <c r="AB39" s="9" t="s">
        <v>487</v>
      </c>
      <c r="AC39" s="9" t="s">
        <v>488</v>
      </c>
      <c r="AD39" s="9" t="s">
        <v>487</v>
      </c>
      <c r="AE39" s="9" t="s">
        <v>487</v>
      </c>
      <c r="AF39" s="9" t="s">
        <v>487</v>
      </c>
      <c r="AG39" s="9" t="s">
        <v>487</v>
      </c>
      <c r="AH39" s="9" t="s">
        <v>487</v>
      </c>
      <c r="AI39">
        <f t="shared" si="8"/>
        <v>25</v>
      </c>
      <c r="AJ39">
        <f t="shared" si="9"/>
        <v>1</v>
      </c>
      <c r="AK39">
        <f t="shared" si="10"/>
        <v>0</v>
      </c>
      <c r="AL39">
        <f t="shared" si="11"/>
        <v>0</v>
      </c>
      <c r="AM39">
        <f t="shared" si="12"/>
        <v>0</v>
      </c>
      <c r="AN39">
        <f t="shared" si="13"/>
        <v>0</v>
      </c>
      <c r="AO39">
        <f t="shared" si="14"/>
        <v>25</v>
      </c>
      <c r="AP39" s="66">
        <f t="shared" si="7"/>
        <v>96.15384615384616</v>
      </c>
    </row>
    <row r="40" spans="1:42">
      <c r="A40" t="s">
        <v>48</v>
      </c>
      <c r="B40" t="str">
        <f>_xlfn.XLOOKUP(A40,Table1[Emp_ID],Table1[Full_Name ])</f>
        <v>Sunil</v>
      </c>
      <c r="C40" t="str">
        <f>_xlfn.XLOOKUP(A40,Table1[Emp_ID],Table1[Department])</f>
        <v>Warehouse</v>
      </c>
      <c r="D40" s="9" t="s">
        <v>487</v>
      </c>
      <c r="E40" s="9" t="s">
        <v>487</v>
      </c>
      <c r="F40" s="9" t="s">
        <v>487</v>
      </c>
      <c r="G40" s="9" t="s">
        <v>487</v>
      </c>
      <c r="H40" s="9" t="s">
        <v>488</v>
      </c>
      <c r="I40" s="9" t="s">
        <v>487</v>
      </c>
      <c r="J40" s="9" t="s">
        <v>487</v>
      </c>
      <c r="K40" s="9" t="s">
        <v>493</v>
      </c>
      <c r="L40" s="9" t="s">
        <v>493</v>
      </c>
      <c r="M40" s="9" t="s">
        <v>493</v>
      </c>
      <c r="N40" s="9" t="s">
        <v>493</v>
      </c>
      <c r="O40" s="9" t="s">
        <v>488</v>
      </c>
      <c r="P40" s="9" t="s">
        <v>488</v>
      </c>
      <c r="Q40" s="9" t="s">
        <v>487</v>
      </c>
      <c r="R40" s="9" t="s">
        <v>487</v>
      </c>
      <c r="S40" s="9" t="s">
        <v>487</v>
      </c>
      <c r="T40" s="9" t="s">
        <v>487</v>
      </c>
      <c r="U40" s="9" t="s">
        <v>487</v>
      </c>
      <c r="V40" s="9" t="s">
        <v>488</v>
      </c>
      <c r="W40" s="9" t="s">
        <v>487</v>
      </c>
      <c r="X40" s="9" t="s">
        <v>487</v>
      </c>
      <c r="Y40" s="9" t="s">
        <v>487</v>
      </c>
      <c r="Z40" s="9" t="s">
        <v>487</v>
      </c>
      <c r="AA40" s="9" t="s">
        <v>487</v>
      </c>
      <c r="AB40" s="9" t="s">
        <v>487</v>
      </c>
      <c r="AC40" s="9" t="s">
        <v>488</v>
      </c>
      <c r="AD40" s="9" t="s">
        <v>487</v>
      </c>
      <c r="AE40" s="9" t="s">
        <v>487</v>
      </c>
      <c r="AF40" s="9" t="s">
        <v>487</v>
      </c>
      <c r="AG40" s="9" t="s">
        <v>487</v>
      </c>
      <c r="AH40" s="9" t="s">
        <v>487</v>
      </c>
      <c r="AI40">
        <f t="shared" si="8"/>
        <v>22</v>
      </c>
      <c r="AJ40">
        <f t="shared" si="9"/>
        <v>0</v>
      </c>
      <c r="AK40">
        <f t="shared" si="10"/>
        <v>0</v>
      </c>
      <c r="AL40">
        <f t="shared" si="11"/>
        <v>0</v>
      </c>
      <c r="AM40">
        <f t="shared" si="12"/>
        <v>4</v>
      </c>
      <c r="AN40">
        <f t="shared" si="13"/>
        <v>0</v>
      </c>
      <c r="AO40">
        <f t="shared" si="14"/>
        <v>26</v>
      </c>
      <c r="AP40" s="66">
        <f t="shared" si="7"/>
        <v>100</v>
      </c>
    </row>
    <row r="41" spans="1:42">
      <c r="A41" t="s">
        <v>49</v>
      </c>
      <c r="B41" t="str">
        <f>_xlfn.XLOOKUP(A41,Table1[Emp_ID],Table1[Full_Name ])</f>
        <v>Anil</v>
      </c>
      <c r="C41" t="str">
        <f>_xlfn.XLOOKUP(A41,Table1[Emp_ID],Table1[Department])</f>
        <v>Warehouse</v>
      </c>
      <c r="D41" s="9" t="s">
        <v>487</v>
      </c>
      <c r="E41" s="9" t="s">
        <v>487</v>
      </c>
      <c r="F41" s="9" t="s">
        <v>487</v>
      </c>
      <c r="G41" s="9" t="s">
        <v>487</v>
      </c>
      <c r="H41" s="9" t="s">
        <v>488</v>
      </c>
      <c r="I41" s="9" t="s">
        <v>487</v>
      </c>
      <c r="J41" s="9" t="s">
        <v>487</v>
      </c>
      <c r="K41" s="9" t="s">
        <v>487</v>
      </c>
      <c r="L41" s="9" t="s">
        <v>487</v>
      </c>
      <c r="M41" s="9" t="s">
        <v>487</v>
      </c>
      <c r="N41" s="9" t="s">
        <v>487</v>
      </c>
      <c r="O41" s="9" t="s">
        <v>488</v>
      </c>
      <c r="P41" s="9" t="s">
        <v>488</v>
      </c>
      <c r="Q41" s="9" t="s">
        <v>487</v>
      </c>
      <c r="R41" s="9" t="s">
        <v>487</v>
      </c>
      <c r="S41" s="9" t="s">
        <v>487</v>
      </c>
      <c r="T41" s="9" t="s">
        <v>487</v>
      </c>
      <c r="U41" s="9" t="s">
        <v>487</v>
      </c>
      <c r="V41" s="9" t="s">
        <v>488</v>
      </c>
      <c r="W41" s="9" t="s">
        <v>487</v>
      </c>
      <c r="X41" s="9" t="s">
        <v>487</v>
      </c>
      <c r="Y41" s="9" t="s">
        <v>487</v>
      </c>
      <c r="Z41" s="9" t="s">
        <v>487</v>
      </c>
      <c r="AA41" s="9" t="s">
        <v>487</v>
      </c>
      <c r="AB41" s="9" t="s">
        <v>487</v>
      </c>
      <c r="AC41" s="9" t="s">
        <v>488</v>
      </c>
      <c r="AD41" s="9" t="s">
        <v>487</v>
      </c>
      <c r="AE41" s="9" t="s">
        <v>487</v>
      </c>
      <c r="AF41" s="9" t="s">
        <v>487</v>
      </c>
      <c r="AG41" s="9" t="s">
        <v>487</v>
      </c>
      <c r="AH41" s="9" t="s">
        <v>487</v>
      </c>
      <c r="AI41">
        <f t="shared" si="8"/>
        <v>26</v>
      </c>
      <c r="AJ41">
        <f t="shared" si="9"/>
        <v>0</v>
      </c>
      <c r="AK41">
        <f t="shared" si="10"/>
        <v>0</v>
      </c>
      <c r="AL41">
        <f t="shared" si="11"/>
        <v>0</v>
      </c>
      <c r="AM41">
        <f t="shared" si="12"/>
        <v>0</v>
      </c>
      <c r="AN41">
        <f t="shared" si="13"/>
        <v>0</v>
      </c>
      <c r="AO41">
        <f t="shared" si="14"/>
        <v>26</v>
      </c>
      <c r="AP41" s="66">
        <f t="shared" si="7"/>
        <v>100</v>
      </c>
    </row>
    <row r="42" spans="1:42">
      <c r="A42" t="s">
        <v>50</v>
      </c>
      <c r="B42" t="str">
        <f>_xlfn.XLOOKUP(A42,Table1[Emp_ID],Table1[Full_Name ])</f>
        <v>Mukesh</v>
      </c>
      <c r="C42" t="str">
        <f>_xlfn.XLOOKUP(A42,Table1[Emp_ID],Table1[Department])</f>
        <v>Warehouse</v>
      </c>
      <c r="D42" s="9" t="s">
        <v>487</v>
      </c>
      <c r="E42" s="9" t="s">
        <v>487</v>
      </c>
      <c r="F42" s="9" t="s">
        <v>487</v>
      </c>
      <c r="G42" s="9" t="s">
        <v>487</v>
      </c>
      <c r="H42" s="9" t="s">
        <v>488</v>
      </c>
      <c r="I42" s="9" t="s">
        <v>487</v>
      </c>
      <c r="J42" s="9" t="s">
        <v>487</v>
      </c>
      <c r="K42" s="9" t="s">
        <v>487</v>
      </c>
      <c r="L42" s="9" t="s">
        <v>487</v>
      </c>
      <c r="M42" s="9" t="s">
        <v>487</v>
      </c>
      <c r="N42" s="9" t="s">
        <v>487</v>
      </c>
      <c r="O42" s="9" t="s">
        <v>488</v>
      </c>
      <c r="P42" s="9" t="s">
        <v>488</v>
      </c>
      <c r="Q42" s="9" t="s">
        <v>487</v>
      </c>
      <c r="R42" s="9" t="s">
        <v>487</v>
      </c>
      <c r="S42" s="9" t="s">
        <v>487</v>
      </c>
      <c r="T42" s="9" t="s">
        <v>487</v>
      </c>
      <c r="U42" s="9" t="s">
        <v>487</v>
      </c>
      <c r="V42" s="9" t="s">
        <v>488</v>
      </c>
      <c r="W42" s="9" t="s">
        <v>487</v>
      </c>
      <c r="X42" s="9" t="s">
        <v>487</v>
      </c>
      <c r="Y42" s="9" t="s">
        <v>487</v>
      </c>
      <c r="Z42" s="9" t="s">
        <v>487</v>
      </c>
      <c r="AA42" s="9" t="s">
        <v>487</v>
      </c>
      <c r="AB42" s="9" t="s">
        <v>490</v>
      </c>
      <c r="AC42" s="9" t="s">
        <v>488</v>
      </c>
      <c r="AD42" s="9" t="s">
        <v>487</v>
      </c>
      <c r="AE42" s="9" t="s">
        <v>487</v>
      </c>
      <c r="AF42" s="9" t="s">
        <v>487</v>
      </c>
      <c r="AG42" s="9" t="s">
        <v>487</v>
      </c>
      <c r="AH42" s="9" t="s">
        <v>487</v>
      </c>
      <c r="AI42">
        <f t="shared" si="8"/>
        <v>25</v>
      </c>
      <c r="AJ42">
        <f t="shared" si="9"/>
        <v>1</v>
      </c>
      <c r="AK42">
        <f t="shared" si="10"/>
        <v>0</v>
      </c>
      <c r="AL42">
        <f t="shared" si="11"/>
        <v>0</v>
      </c>
      <c r="AM42">
        <f t="shared" si="12"/>
        <v>0</v>
      </c>
      <c r="AN42">
        <f t="shared" si="13"/>
        <v>0</v>
      </c>
      <c r="AO42">
        <f t="shared" si="14"/>
        <v>25</v>
      </c>
      <c r="AP42" s="66">
        <f t="shared" si="7"/>
        <v>96.15384615384616</v>
      </c>
    </row>
    <row r="43" spans="1:42">
      <c r="A43" t="s">
        <v>51</v>
      </c>
      <c r="B43" t="str">
        <f>_xlfn.XLOOKUP(A43,Table1[Emp_ID],Table1[Full_Name ])</f>
        <v>Rajesh</v>
      </c>
      <c r="C43" t="str">
        <f>_xlfn.XLOOKUP(A43,Table1[Emp_ID],Table1[Department])</f>
        <v>Warehouse</v>
      </c>
      <c r="D43" s="9" t="s">
        <v>490</v>
      </c>
      <c r="E43" s="9" t="s">
        <v>487</v>
      </c>
      <c r="F43" s="9" t="s">
        <v>487</v>
      </c>
      <c r="G43" s="9" t="s">
        <v>487</v>
      </c>
      <c r="H43" s="9" t="s">
        <v>488</v>
      </c>
      <c r="I43" s="9" t="s">
        <v>487</v>
      </c>
      <c r="J43" s="9" t="s">
        <v>487</v>
      </c>
      <c r="K43" s="9" t="s">
        <v>487</v>
      </c>
      <c r="L43" s="9" t="s">
        <v>487</v>
      </c>
      <c r="M43" s="9" t="s">
        <v>487</v>
      </c>
      <c r="N43" s="9" t="s">
        <v>487</v>
      </c>
      <c r="O43" s="9" t="s">
        <v>488</v>
      </c>
      <c r="P43" s="9" t="s">
        <v>488</v>
      </c>
      <c r="Q43" s="9" t="s">
        <v>487</v>
      </c>
      <c r="R43" s="9" t="s">
        <v>487</v>
      </c>
      <c r="S43" s="9" t="s">
        <v>487</v>
      </c>
      <c r="T43" s="9" t="s">
        <v>490</v>
      </c>
      <c r="U43" s="9" t="s">
        <v>487</v>
      </c>
      <c r="V43" s="9" t="s">
        <v>488</v>
      </c>
      <c r="W43" s="9" t="s">
        <v>491</v>
      </c>
      <c r="X43" s="9" t="s">
        <v>491</v>
      </c>
      <c r="Y43" s="9" t="s">
        <v>487</v>
      </c>
      <c r="Z43" s="9" t="s">
        <v>487</v>
      </c>
      <c r="AA43" s="9" t="s">
        <v>487</v>
      </c>
      <c r="AB43" s="9" t="s">
        <v>487</v>
      </c>
      <c r="AC43" s="9" t="s">
        <v>488</v>
      </c>
      <c r="AD43" s="9" t="s">
        <v>490</v>
      </c>
      <c r="AE43" s="9" t="s">
        <v>487</v>
      </c>
      <c r="AF43" s="9" t="s">
        <v>487</v>
      </c>
      <c r="AG43" s="9" t="s">
        <v>487</v>
      </c>
      <c r="AH43" s="9" t="s">
        <v>487</v>
      </c>
      <c r="AI43">
        <f t="shared" si="8"/>
        <v>21</v>
      </c>
      <c r="AJ43">
        <f t="shared" si="9"/>
        <v>3</v>
      </c>
      <c r="AK43">
        <f t="shared" si="10"/>
        <v>0</v>
      </c>
      <c r="AL43">
        <f t="shared" si="11"/>
        <v>2</v>
      </c>
      <c r="AM43">
        <f t="shared" si="12"/>
        <v>0</v>
      </c>
      <c r="AN43">
        <f t="shared" si="13"/>
        <v>0</v>
      </c>
      <c r="AO43">
        <f t="shared" si="14"/>
        <v>23</v>
      </c>
      <c r="AP43" s="66">
        <f t="shared" si="7"/>
        <v>88.461538461538453</v>
      </c>
    </row>
    <row r="44" spans="1:42">
      <c r="A44" t="s">
        <v>52</v>
      </c>
      <c r="B44" t="str">
        <f>_xlfn.XLOOKUP(A44,Table1[Emp_ID],Table1[Full_Name ])</f>
        <v>Mahesh</v>
      </c>
      <c r="C44" t="str">
        <f>_xlfn.XLOOKUP(A44,Table1[Emp_ID],Table1[Department])</f>
        <v>Warehouse</v>
      </c>
      <c r="D44" s="9" t="s">
        <v>487</v>
      </c>
      <c r="E44" s="9" t="s">
        <v>487</v>
      </c>
      <c r="F44" s="9" t="s">
        <v>487</v>
      </c>
      <c r="G44" s="9" t="s">
        <v>487</v>
      </c>
      <c r="H44" s="9" t="s">
        <v>488</v>
      </c>
      <c r="I44" s="9" t="s">
        <v>487</v>
      </c>
      <c r="J44" s="9" t="s">
        <v>487</v>
      </c>
      <c r="K44" s="9" t="s">
        <v>487</v>
      </c>
      <c r="L44" s="9" t="s">
        <v>487</v>
      </c>
      <c r="M44" s="9" t="s">
        <v>491</v>
      </c>
      <c r="N44" s="9" t="s">
        <v>491</v>
      </c>
      <c r="O44" s="9" t="s">
        <v>488</v>
      </c>
      <c r="P44" s="9" t="s">
        <v>488</v>
      </c>
      <c r="Q44" s="9" t="s">
        <v>487</v>
      </c>
      <c r="R44" s="9" t="s">
        <v>487</v>
      </c>
      <c r="S44" s="9" t="s">
        <v>487</v>
      </c>
      <c r="T44" s="9" t="s">
        <v>487</v>
      </c>
      <c r="U44" s="9" t="s">
        <v>487</v>
      </c>
      <c r="V44" s="9" t="s">
        <v>488</v>
      </c>
      <c r="W44" s="9" t="s">
        <v>487</v>
      </c>
      <c r="X44" s="9" t="s">
        <v>487</v>
      </c>
      <c r="Y44" s="9" t="s">
        <v>487</v>
      </c>
      <c r="Z44" s="9" t="s">
        <v>487</v>
      </c>
      <c r="AA44" s="9" t="s">
        <v>487</v>
      </c>
      <c r="AB44" s="9" t="s">
        <v>487</v>
      </c>
      <c r="AC44" s="9" t="s">
        <v>488</v>
      </c>
      <c r="AD44" s="9" t="s">
        <v>487</v>
      </c>
      <c r="AE44" s="9" t="s">
        <v>487</v>
      </c>
      <c r="AF44" s="9" t="s">
        <v>487</v>
      </c>
      <c r="AG44" s="9" t="s">
        <v>487</v>
      </c>
      <c r="AH44" s="9" t="s">
        <v>490</v>
      </c>
      <c r="AI44">
        <f t="shared" si="8"/>
        <v>23</v>
      </c>
      <c r="AJ44">
        <f t="shared" si="9"/>
        <v>1</v>
      </c>
      <c r="AK44">
        <f t="shared" si="10"/>
        <v>0</v>
      </c>
      <c r="AL44">
        <f t="shared" si="11"/>
        <v>2</v>
      </c>
      <c r="AM44">
        <f t="shared" si="12"/>
        <v>0</v>
      </c>
      <c r="AN44">
        <f t="shared" si="13"/>
        <v>0</v>
      </c>
      <c r="AO44">
        <f t="shared" si="14"/>
        <v>25</v>
      </c>
      <c r="AP44" s="66">
        <f t="shared" si="7"/>
        <v>96.15384615384616</v>
      </c>
    </row>
    <row r="45" spans="1:42">
      <c r="A45" t="s">
        <v>53</v>
      </c>
      <c r="B45" t="str">
        <f>_xlfn.XLOOKUP(A45,Table1[Emp_ID],Table1[Full_Name ])</f>
        <v>Prakash</v>
      </c>
      <c r="C45" t="str">
        <f>_xlfn.XLOOKUP(A45,Table1[Emp_ID],Table1[Department])</f>
        <v>Warehouse</v>
      </c>
      <c r="D45" s="9" t="s">
        <v>487</v>
      </c>
      <c r="E45" s="9" t="s">
        <v>487</v>
      </c>
      <c r="F45" s="9" t="s">
        <v>487</v>
      </c>
      <c r="G45" s="9" t="s">
        <v>487</v>
      </c>
      <c r="H45" s="9" t="s">
        <v>488</v>
      </c>
      <c r="I45" s="9" t="s">
        <v>487</v>
      </c>
      <c r="J45" s="9" t="s">
        <v>487</v>
      </c>
      <c r="K45" s="9" t="s">
        <v>487</v>
      </c>
      <c r="L45" s="9" t="s">
        <v>487</v>
      </c>
      <c r="M45" s="9" t="s">
        <v>487</v>
      </c>
      <c r="N45" s="9" t="s">
        <v>487</v>
      </c>
      <c r="O45" s="9" t="s">
        <v>488</v>
      </c>
      <c r="P45" s="9" t="s">
        <v>488</v>
      </c>
      <c r="Q45" s="9" t="s">
        <v>487</v>
      </c>
      <c r="R45" s="9" t="s">
        <v>492</v>
      </c>
      <c r="S45" s="9" t="s">
        <v>487</v>
      </c>
      <c r="T45" s="9" t="s">
        <v>487</v>
      </c>
      <c r="U45" s="9" t="s">
        <v>487</v>
      </c>
      <c r="V45" s="9" t="s">
        <v>488</v>
      </c>
      <c r="W45" s="9" t="s">
        <v>487</v>
      </c>
      <c r="X45" s="9" t="s">
        <v>487</v>
      </c>
      <c r="Y45" s="9" t="s">
        <v>487</v>
      </c>
      <c r="Z45" s="9" t="s">
        <v>487</v>
      </c>
      <c r="AA45" s="9" t="s">
        <v>487</v>
      </c>
      <c r="AB45" s="9" t="s">
        <v>487</v>
      </c>
      <c r="AC45" s="9" t="s">
        <v>488</v>
      </c>
      <c r="AD45" s="9" t="s">
        <v>487</v>
      </c>
      <c r="AE45" s="9" t="s">
        <v>487</v>
      </c>
      <c r="AF45" s="9" t="s">
        <v>487</v>
      </c>
      <c r="AG45" s="9" t="s">
        <v>487</v>
      </c>
      <c r="AH45" s="9" t="s">
        <v>487</v>
      </c>
      <c r="AI45">
        <f t="shared" si="8"/>
        <v>25</v>
      </c>
      <c r="AJ45">
        <f t="shared" si="9"/>
        <v>0</v>
      </c>
      <c r="AK45">
        <f t="shared" si="10"/>
        <v>0</v>
      </c>
      <c r="AL45">
        <f t="shared" si="11"/>
        <v>0</v>
      </c>
      <c r="AM45">
        <f t="shared" si="12"/>
        <v>0</v>
      </c>
      <c r="AN45">
        <f t="shared" si="13"/>
        <v>1</v>
      </c>
      <c r="AO45">
        <f t="shared" si="14"/>
        <v>25</v>
      </c>
      <c r="AP45" s="66">
        <f t="shared" si="7"/>
        <v>96.15384615384616</v>
      </c>
    </row>
    <row r="46" spans="1:42">
      <c r="A46" t="s">
        <v>54</v>
      </c>
      <c r="B46" t="str">
        <f>_xlfn.XLOOKUP(A46,Table1[Emp_ID],Table1[Full_Name ])</f>
        <v>Shivam</v>
      </c>
      <c r="C46" t="str">
        <f>_xlfn.XLOOKUP(A46,Table1[Emp_ID],Table1[Department])</f>
        <v>Warehouse</v>
      </c>
      <c r="D46" s="9" t="s">
        <v>487</v>
      </c>
      <c r="E46" s="9" t="s">
        <v>487</v>
      </c>
      <c r="F46" s="9" t="s">
        <v>492</v>
      </c>
      <c r="G46" s="9" t="s">
        <v>487</v>
      </c>
      <c r="H46" s="9" t="s">
        <v>488</v>
      </c>
      <c r="I46" s="9" t="s">
        <v>487</v>
      </c>
      <c r="J46" s="9" t="s">
        <v>487</v>
      </c>
      <c r="K46" s="9" t="s">
        <v>487</v>
      </c>
      <c r="L46" s="9" t="s">
        <v>487</v>
      </c>
      <c r="M46" s="9" t="s">
        <v>487</v>
      </c>
      <c r="N46" s="9" t="s">
        <v>487</v>
      </c>
      <c r="O46" s="9" t="s">
        <v>488</v>
      </c>
      <c r="P46" s="9" t="s">
        <v>488</v>
      </c>
      <c r="Q46" s="9" t="s">
        <v>487</v>
      </c>
      <c r="R46" s="9" t="s">
        <v>487</v>
      </c>
      <c r="S46" s="9" t="s">
        <v>487</v>
      </c>
      <c r="T46" s="9" t="s">
        <v>487</v>
      </c>
      <c r="U46" s="9" t="s">
        <v>487</v>
      </c>
      <c r="V46" s="9" t="s">
        <v>488</v>
      </c>
      <c r="W46" s="9" t="s">
        <v>487</v>
      </c>
      <c r="X46" s="9" t="s">
        <v>487</v>
      </c>
      <c r="Y46" s="9" t="s">
        <v>487</v>
      </c>
      <c r="Z46" s="9" t="s">
        <v>487</v>
      </c>
      <c r="AA46" s="9" t="s">
        <v>487</v>
      </c>
      <c r="AB46" s="9" t="s">
        <v>487</v>
      </c>
      <c r="AC46" s="9" t="s">
        <v>488</v>
      </c>
      <c r="AD46" s="9" t="s">
        <v>487</v>
      </c>
      <c r="AE46" s="9" t="s">
        <v>487</v>
      </c>
      <c r="AF46" s="9" t="s">
        <v>492</v>
      </c>
      <c r="AG46" s="9" t="s">
        <v>487</v>
      </c>
      <c r="AH46" s="9" t="s">
        <v>487</v>
      </c>
      <c r="AI46">
        <f t="shared" si="8"/>
        <v>24</v>
      </c>
      <c r="AJ46">
        <f t="shared" si="9"/>
        <v>0</v>
      </c>
      <c r="AK46">
        <f t="shared" si="10"/>
        <v>0</v>
      </c>
      <c r="AL46">
        <f t="shared" si="11"/>
        <v>0</v>
      </c>
      <c r="AM46">
        <f t="shared" si="12"/>
        <v>0</v>
      </c>
      <c r="AN46">
        <f t="shared" si="13"/>
        <v>2</v>
      </c>
      <c r="AO46">
        <f t="shared" si="14"/>
        <v>24</v>
      </c>
      <c r="AP46" s="66">
        <f t="shared" si="7"/>
        <v>92.307692307692307</v>
      </c>
    </row>
    <row r="47" spans="1:42">
      <c r="A47" t="s">
        <v>55</v>
      </c>
      <c r="B47" t="str">
        <f>_xlfn.XLOOKUP(A47,Table1[Emp_ID],Table1[Full_Name ])</f>
        <v>Om</v>
      </c>
      <c r="C47" t="str">
        <f>_xlfn.XLOOKUP(A47,Table1[Emp_ID],Table1[Department])</f>
        <v>Warehouse</v>
      </c>
      <c r="D47" s="9" t="s">
        <v>487</v>
      </c>
      <c r="E47" s="9" t="s">
        <v>487</v>
      </c>
      <c r="F47" s="9" t="s">
        <v>487</v>
      </c>
      <c r="G47" s="9" t="s">
        <v>487</v>
      </c>
      <c r="H47" s="9" t="s">
        <v>488</v>
      </c>
      <c r="I47" s="9" t="s">
        <v>487</v>
      </c>
      <c r="J47" s="9" t="s">
        <v>487</v>
      </c>
      <c r="K47" s="9" t="s">
        <v>487</v>
      </c>
      <c r="L47" s="9" t="s">
        <v>487</v>
      </c>
      <c r="M47" s="9" t="s">
        <v>487</v>
      </c>
      <c r="N47" s="9" t="s">
        <v>487</v>
      </c>
      <c r="O47" s="9" t="s">
        <v>488</v>
      </c>
      <c r="P47" s="9" t="s">
        <v>488</v>
      </c>
      <c r="Q47" s="9" t="s">
        <v>487</v>
      </c>
      <c r="R47" s="9" t="s">
        <v>487</v>
      </c>
      <c r="S47" s="9" t="s">
        <v>490</v>
      </c>
      <c r="T47" s="9" t="s">
        <v>487</v>
      </c>
      <c r="U47" s="9" t="s">
        <v>487</v>
      </c>
      <c r="V47" s="9" t="s">
        <v>488</v>
      </c>
      <c r="W47" s="9" t="s">
        <v>487</v>
      </c>
      <c r="X47" s="9" t="s">
        <v>487</v>
      </c>
      <c r="Y47" s="9" t="s">
        <v>487</v>
      </c>
      <c r="Z47" s="9" t="s">
        <v>487</v>
      </c>
      <c r="AA47" s="9" t="s">
        <v>487</v>
      </c>
      <c r="AB47" s="9" t="s">
        <v>487</v>
      </c>
      <c r="AC47" s="9" t="s">
        <v>488</v>
      </c>
      <c r="AD47" s="9" t="s">
        <v>487</v>
      </c>
      <c r="AE47" s="9" t="s">
        <v>487</v>
      </c>
      <c r="AF47" s="9" t="s">
        <v>487</v>
      </c>
      <c r="AG47" s="9" t="s">
        <v>487</v>
      </c>
      <c r="AH47" s="9" t="s">
        <v>487</v>
      </c>
      <c r="AI47">
        <f t="shared" si="8"/>
        <v>25</v>
      </c>
      <c r="AJ47">
        <f t="shared" si="9"/>
        <v>1</v>
      </c>
      <c r="AK47">
        <f t="shared" si="10"/>
        <v>0</v>
      </c>
      <c r="AL47">
        <f t="shared" si="11"/>
        <v>0</v>
      </c>
      <c r="AM47">
        <f t="shared" si="12"/>
        <v>0</v>
      </c>
      <c r="AN47">
        <f t="shared" si="13"/>
        <v>0</v>
      </c>
      <c r="AO47">
        <f t="shared" si="14"/>
        <v>25</v>
      </c>
      <c r="AP47" s="66">
        <f t="shared" si="7"/>
        <v>96.15384615384616</v>
      </c>
    </row>
    <row r="48" spans="1:42">
      <c r="A48" t="s">
        <v>56</v>
      </c>
      <c r="B48" t="str">
        <f>_xlfn.XLOOKUP(A48,Table1[Emp_ID],Table1[Full_Name ])</f>
        <v>Akash</v>
      </c>
      <c r="C48" t="str">
        <f>_xlfn.XLOOKUP(A48,Table1[Emp_ID],Table1[Department])</f>
        <v>Warehouse</v>
      </c>
      <c r="D48" s="9" t="s">
        <v>487</v>
      </c>
      <c r="E48" s="9" t="s">
        <v>487</v>
      </c>
      <c r="F48" s="9" t="s">
        <v>487</v>
      </c>
      <c r="G48" s="9" t="s">
        <v>490</v>
      </c>
      <c r="H48" s="9" t="s">
        <v>488</v>
      </c>
      <c r="I48" s="9" t="s">
        <v>487</v>
      </c>
      <c r="J48" s="9" t="s">
        <v>487</v>
      </c>
      <c r="K48" s="9" t="s">
        <v>487</v>
      </c>
      <c r="L48" s="9" t="s">
        <v>487</v>
      </c>
      <c r="M48" s="9" t="s">
        <v>487</v>
      </c>
      <c r="N48" s="9" t="s">
        <v>487</v>
      </c>
      <c r="O48" s="9" t="s">
        <v>488</v>
      </c>
      <c r="P48" s="9" t="s">
        <v>488</v>
      </c>
      <c r="Q48" s="9" t="s">
        <v>487</v>
      </c>
      <c r="R48" s="9" t="s">
        <v>487</v>
      </c>
      <c r="S48" s="9" t="s">
        <v>487</v>
      </c>
      <c r="T48" s="9" t="s">
        <v>487</v>
      </c>
      <c r="U48" s="9" t="s">
        <v>487</v>
      </c>
      <c r="V48" s="9" t="s">
        <v>488</v>
      </c>
      <c r="W48" s="9" t="s">
        <v>487</v>
      </c>
      <c r="X48" s="9" t="s">
        <v>493</v>
      </c>
      <c r="Y48" s="9" t="s">
        <v>493</v>
      </c>
      <c r="Z48" s="9" t="s">
        <v>493</v>
      </c>
      <c r="AA48" s="9" t="s">
        <v>493</v>
      </c>
      <c r="AB48" s="9" t="s">
        <v>487</v>
      </c>
      <c r="AC48" s="9" t="s">
        <v>488</v>
      </c>
      <c r="AD48" s="9" t="s">
        <v>487</v>
      </c>
      <c r="AE48" s="9" t="s">
        <v>487</v>
      </c>
      <c r="AF48" s="9" t="s">
        <v>487</v>
      </c>
      <c r="AG48" s="9" t="s">
        <v>490</v>
      </c>
      <c r="AH48" s="9" t="s">
        <v>487</v>
      </c>
      <c r="AI48">
        <f t="shared" si="8"/>
        <v>20</v>
      </c>
      <c r="AJ48">
        <f t="shared" si="9"/>
        <v>2</v>
      </c>
      <c r="AK48">
        <f t="shared" si="10"/>
        <v>0</v>
      </c>
      <c r="AL48">
        <f t="shared" si="11"/>
        <v>0</v>
      </c>
      <c r="AM48">
        <f t="shared" si="12"/>
        <v>4</v>
      </c>
      <c r="AN48">
        <f t="shared" si="13"/>
        <v>0</v>
      </c>
      <c r="AO48">
        <f t="shared" si="14"/>
        <v>24</v>
      </c>
      <c r="AP48" s="66">
        <f t="shared" si="7"/>
        <v>92.307692307692307</v>
      </c>
    </row>
    <row r="49" spans="1:42">
      <c r="A49" t="s">
        <v>57</v>
      </c>
      <c r="B49" t="str">
        <f>_xlfn.XLOOKUP(A49,Table1[Emp_ID],Table1[Full_Name ])</f>
        <v>Kartik</v>
      </c>
      <c r="C49" t="str">
        <f>_xlfn.XLOOKUP(A49,Table1[Emp_ID],Table1[Department])</f>
        <v>Warehouse</v>
      </c>
      <c r="D49" s="9" t="s">
        <v>487</v>
      </c>
      <c r="E49" s="9" t="s">
        <v>487</v>
      </c>
      <c r="F49" s="9" t="s">
        <v>487</v>
      </c>
      <c r="G49" s="9" t="s">
        <v>487</v>
      </c>
      <c r="H49" s="9" t="s">
        <v>488</v>
      </c>
      <c r="I49" s="9" t="s">
        <v>487</v>
      </c>
      <c r="J49" s="9" t="s">
        <v>490</v>
      </c>
      <c r="K49" s="9" t="s">
        <v>487</v>
      </c>
      <c r="L49" s="9" t="s">
        <v>487</v>
      </c>
      <c r="M49" s="9" t="s">
        <v>487</v>
      </c>
      <c r="N49" s="9" t="s">
        <v>487</v>
      </c>
      <c r="O49" s="9" t="s">
        <v>488</v>
      </c>
      <c r="P49" s="9" t="s">
        <v>488</v>
      </c>
      <c r="Q49" s="9" t="s">
        <v>487</v>
      </c>
      <c r="R49" s="9" t="s">
        <v>487</v>
      </c>
      <c r="S49" s="9" t="s">
        <v>487</v>
      </c>
      <c r="T49" s="9" t="s">
        <v>487</v>
      </c>
      <c r="U49" s="9" t="s">
        <v>487</v>
      </c>
      <c r="V49" s="9" t="s">
        <v>488</v>
      </c>
      <c r="W49" s="9" t="s">
        <v>487</v>
      </c>
      <c r="X49" s="9" t="s">
        <v>487</v>
      </c>
      <c r="Y49" s="9" t="s">
        <v>487</v>
      </c>
      <c r="Z49" s="9" t="s">
        <v>487</v>
      </c>
      <c r="AA49" s="9" t="s">
        <v>487</v>
      </c>
      <c r="AB49" s="9" t="s">
        <v>487</v>
      </c>
      <c r="AC49" s="9" t="s">
        <v>488</v>
      </c>
      <c r="AD49" s="9" t="s">
        <v>487</v>
      </c>
      <c r="AE49" s="9" t="s">
        <v>487</v>
      </c>
      <c r="AF49" s="9" t="s">
        <v>487</v>
      </c>
      <c r="AG49" s="9" t="s">
        <v>487</v>
      </c>
      <c r="AH49" s="9" t="s">
        <v>487</v>
      </c>
      <c r="AI49">
        <f t="shared" si="8"/>
        <v>25</v>
      </c>
      <c r="AJ49">
        <f t="shared" si="9"/>
        <v>1</v>
      </c>
      <c r="AK49">
        <f t="shared" si="10"/>
        <v>0</v>
      </c>
      <c r="AL49">
        <f t="shared" si="11"/>
        <v>0</v>
      </c>
      <c r="AM49">
        <f t="shared" si="12"/>
        <v>0</v>
      </c>
      <c r="AN49">
        <f t="shared" si="13"/>
        <v>0</v>
      </c>
      <c r="AO49">
        <f t="shared" si="14"/>
        <v>25</v>
      </c>
      <c r="AP49" s="66">
        <f t="shared" si="7"/>
        <v>96.15384615384616</v>
      </c>
    </row>
    <row r="50" spans="1:42">
      <c r="A50" t="s">
        <v>58</v>
      </c>
      <c r="B50" t="str">
        <f>_xlfn.XLOOKUP(A50,Table1[Emp_ID],Table1[Full_Name ])</f>
        <v>Aryan</v>
      </c>
      <c r="C50" t="str">
        <f>_xlfn.XLOOKUP(A50,Table1[Emp_ID],Table1[Department])</f>
        <v>Warehouse</v>
      </c>
      <c r="D50" s="9" t="s">
        <v>487</v>
      </c>
      <c r="E50" s="9" t="s">
        <v>487</v>
      </c>
      <c r="F50" s="9" t="s">
        <v>487</v>
      </c>
      <c r="G50" s="9" t="s">
        <v>487</v>
      </c>
      <c r="H50" s="9" t="s">
        <v>488</v>
      </c>
      <c r="I50" s="9" t="s">
        <v>487</v>
      </c>
      <c r="J50" s="9" t="s">
        <v>487</v>
      </c>
      <c r="K50" s="9" t="s">
        <v>487</v>
      </c>
      <c r="L50" s="9" t="s">
        <v>487</v>
      </c>
      <c r="M50" s="9" t="s">
        <v>487</v>
      </c>
      <c r="N50" s="9" t="s">
        <v>490</v>
      </c>
      <c r="O50" s="9" t="s">
        <v>488</v>
      </c>
      <c r="P50" s="9" t="s">
        <v>488</v>
      </c>
      <c r="Q50" s="9" t="s">
        <v>490</v>
      </c>
      <c r="R50" s="9" t="s">
        <v>487</v>
      </c>
      <c r="S50" s="9" t="s">
        <v>487</v>
      </c>
      <c r="T50" s="9" t="s">
        <v>487</v>
      </c>
      <c r="U50" s="9" t="s">
        <v>487</v>
      </c>
      <c r="V50" s="9" t="s">
        <v>488</v>
      </c>
      <c r="W50" s="9" t="s">
        <v>487</v>
      </c>
      <c r="X50" s="9" t="s">
        <v>487</v>
      </c>
      <c r="Y50" s="9" t="s">
        <v>487</v>
      </c>
      <c r="Z50" s="9" t="s">
        <v>487</v>
      </c>
      <c r="AA50" s="9" t="s">
        <v>487</v>
      </c>
      <c r="AB50" s="9" t="s">
        <v>487</v>
      </c>
      <c r="AC50" s="9" t="s">
        <v>488</v>
      </c>
      <c r="AD50" s="9" t="s">
        <v>487</v>
      </c>
      <c r="AE50" s="9" t="s">
        <v>487</v>
      </c>
      <c r="AF50" s="9" t="s">
        <v>487</v>
      </c>
      <c r="AG50" s="9" t="s">
        <v>487</v>
      </c>
      <c r="AH50" s="9" t="s">
        <v>487</v>
      </c>
      <c r="AI50">
        <f t="shared" si="8"/>
        <v>24</v>
      </c>
      <c r="AJ50">
        <f t="shared" si="9"/>
        <v>2</v>
      </c>
      <c r="AK50">
        <f t="shared" si="10"/>
        <v>0</v>
      </c>
      <c r="AL50">
        <f t="shared" si="11"/>
        <v>0</v>
      </c>
      <c r="AM50">
        <f t="shared" si="12"/>
        <v>0</v>
      </c>
      <c r="AN50">
        <f t="shared" si="13"/>
        <v>0</v>
      </c>
      <c r="AO50">
        <f t="shared" si="14"/>
        <v>24</v>
      </c>
      <c r="AP50" s="66">
        <f t="shared" si="7"/>
        <v>92.307692307692307</v>
      </c>
    </row>
    <row r="51" spans="1:42">
      <c r="A51" t="s">
        <v>59</v>
      </c>
      <c r="B51" t="str">
        <f>_xlfn.XLOOKUP(A51,Table1[Emp_ID],Table1[Full_Name ])</f>
        <v>Sagar</v>
      </c>
      <c r="C51" t="str">
        <f>_xlfn.XLOOKUP(A51,Table1[Emp_ID],Table1[Department])</f>
        <v>Warehouse</v>
      </c>
      <c r="D51" s="9" t="s">
        <v>487</v>
      </c>
      <c r="E51" s="9" t="s">
        <v>490</v>
      </c>
      <c r="F51" s="9" t="s">
        <v>487</v>
      </c>
      <c r="G51" s="9" t="s">
        <v>487</v>
      </c>
      <c r="H51" s="9" t="s">
        <v>488</v>
      </c>
      <c r="I51" s="9" t="s">
        <v>487</v>
      </c>
      <c r="J51" s="9" t="s">
        <v>487</v>
      </c>
      <c r="K51" s="9" t="s">
        <v>487</v>
      </c>
      <c r="L51" s="9" t="s">
        <v>487</v>
      </c>
      <c r="M51" s="9" t="s">
        <v>487</v>
      </c>
      <c r="N51" s="9" t="s">
        <v>487</v>
      </c>
      <c r="O51" s="9" t="s">
        <v>488</v>
      </c>
      <c r="P51" s="9" t="s">
        <v>488</v>
      </c>
      <c r="Q51" s="9" t="s">
        <v>487</v>
      </c>
      <c r="R51" s="9" t="s">
        <v>487</v>
      </c>
      <c r="S51" s="9" t="s">
        <v>487</v>
      </c>
      <c r="T51" s="9" t="s">
        <v>487</v>
      </c>
      <c r="U51" s="9" t="s">
        <v>487</v>
      </c>
      <c r="V51" s="9" t="s">
        <v>488</v>
      </c>
      <c r="W51" s="9" t="s">
        <v>487</v>
      </c>
      <c r="X51" s="9" t="s">
        <v>487</v>
      </c>
      <c r="Y51" s="9" t="s">
        <v>487</v>
      </c>
      <c r="Z51" s="9" t="s">
        <v>487</v>
      </c>
      <c r="AA51" s="9" t="s">
        <v>487</v>
      </c>
      <c r="AB51" s="9" t="s">
        <v>487</v>
      </c>
      <c r="AC51" s="9" t="s">
        <v>488</v>
      </c>
      <c r="AD51" s="9" t="s">
        <v>487</v>
      </c>
      <c r="AE51" s="9" t="s">
        <v>490</v>
      </c>
      <c r="AF51" s="9" t="s">
        <v>487</v>
      </c>
      <c r="AG51" s="9" t="s">
        <v>487</v>
      </c>
      <c r="AH51" s="9" t="s">
        <v>487</v>
      </c>
      <c r="AI51">
        <f t="shared" si="8"/>
        <v>24</v>
      </c>
      <c r="AJ51">
        <f t="shared" si="9"/>
        <v>2</v>
      </c>
      <c r="AK51">
        <f t="shared" si="10"/>
        <v>0</v>
      </c>
      <c r="AL51">
        <f t="shared" si="11"/>
        <v>0</v>
      </c>
      <c r="AM51">
        <f t="shared" si="12"/>
        <v>0</v>
      </c>
      <c r="AN51">
        <f t="shared" si="13"/>
        <v>0</v>
      </c>
      <c r="AO51">
        <f t="shared" si="14"/>
        <v>24</v>
      </c>
      <c r="AP51" s="66">
        <f t="shared" si="7"/>
        <v>92.307692307692307</v>
      </c>
    </row>
    <row r="52" spans="1:42">
      <c r="A52" t="s">
        <v>60</v>
      </c>
      <c r="B52" t="str">
        <f>_xlfn.XLOOKUP(A52,Table1[Emp_ID],Table1[Full_Name ])</f>
        <v>Naveen</v>
      </c>
      <c r="C52" t="str">
        <f>_xlfn.XLOOKUP(A52,Table1[Emp_ID],Table1[Department])</f>
        <v>Warehouse</v>
      </c>
      <c r="D52" s="9" t="s">
        <v>487</v>
      </c>
      <c r="E52" s="9" t="s">
        <v>487</v>
      </c>
      <c r="F52" s="9" t="s">
        <v>487</v>
      </c>
      <c r="G52" s="9" t="s">
        <v>487</v>
      </c>
      <c r="H52" s="9" t="s">
        <v>488</v>
      </c>
      <c r="I52" s="9" t="s">
        <v>487</v>
      </c>
      <c r="J52" s="9" t="s">
        <v>487</v>
      </c>
      <c r="K52" s="9" t="s">
        <v>487</v>
      </c>
      <c r="L52" s="9" t="s">
        <v>487</v>
      </c>
      <c r="M52" s="9" t="s">
        <v>487</v>
      </c>
      <c r="N52" s="9" t="s">
        <v>487</v>
      </c>
      <c r="O52" s="9" t="s">
        <v>488</v>
      </c>
      <c r="P52" s="9" t="s">
        <v>488</v>
      </c>
      <c r="Q52" s="9" t="s">
        <v>487</v>
      </c>
      <c r="R52" s="9" t="s">
        <v>487</v>
      </c>
      <c r="S52" s="9" t="s">
        <v>487</v>
      </c>
      <c r="T52" s="9" t="s">
        <v>487</v>
      </c>
      <c r="U52" s="9" t="s">
        <v>487</v>
      </c>
      <c r="V52" s="9" t="s">
        <v>488</v>
      </c>
      <c r="W52" s="9" t="s">
        <v>487</v>
      </c>
      <c r="X52" s="9" t="s">
        <v>487</v>
      </c>
      <c r="Y52" s="9" t="s">
        <v>487</v>
      </c>
      <c r="Z52" s="9" t="s">
        <v>491</v>
      </c>
      <c r="AA52" s="9" t="s">
        <v>491</v>
      </c>
      <c r="AB52" s="9" t="s">
        <v>487</v>
      </c>
      <c r="AC52" s="9" t="s">
        <v>488</v>
      </c>
      <c r="AD52" s="9" t="s">
        <v>487</v>
      </c>
      <c r="AE52" s="9" t="s">
        <v>487</v>
      </c>
      <c r="AF52" s="9" t="s">
        <v>487</v>
      </c>
      <c r="AG52" s="9" t="s">
        <v>487</v>
      </c>
      <c r="AH52" s="9" t="s">
        <v>487</v>
      </c>
      <c r="AI52">
        <f t="shared" si="8"/>
        <v>24</v>
      </c>
      <c r="AJ52">
        <f t="shared" si="9"/>
        <v>0</v>
      </c>
      <c r="AK52">
        <f t="shared" si="10"/>
        <v>0</v>
      </c>
      <c r="AL52">
        <f t="shared" si="11"/>
        <v>2</v>
      </c>
      <c r="AM52">
        <f t="shared" si="12"/>
        <v>0</v>
      </c>
      <c r="AN52">
        <f t="shared" si="13"/>
        <v>0</v>
      </c>
      <c r="AO52">
        <f t="shared" si="14"/>
        <v>26</v>
      </c>
      <c r="AP52" s="66">
        <f t="shared" si="7"/>
        <v>100</v>
      </c>
    </row>
    <row r="53" spans="1:42">
      <c r="A53" t="s">
        <v>61</v>
      </c>
      <c r="B53" t="str">
        <f>_xlfn.XLOOKUP(A53,Table1[Emp_ID],Table1[Full_Name ])</f>
        <v>Sachin</v>
      </c>
      <c r="C53" t="str">
        <f>_xlfn.XLOOKUP(A53,Table1[Emp_ID],Table1[Department])</f>
        <v>Warehouse</v>
      </c>
      <c r="D53" s="9" t="s">
        <v>487</v>
      </c>
      <c r="E53" s="9" t="s">
        <v>487</v>
      </c>
      <c r="F53" s="9" t="s">
        <v>487</v>
      </c>
      <c r="G53" s="9" t="s">
        <v>487</v>
      </c>
      <c r="H53" s="9" t="s">
        <v>488</v>
      </c>
      <c r="I53" s="9" t="s">
        <v>487</v>
      </c>
      <c r="J53" s="9" t="s">
        <v>487</v>
      </c>
      <c r="K53" s="9" t="s">
        <v>487</v>
      </c>
      <c r="L53" s="9" t="s">
        <v>487</v>
      </c>
      <c r="M53" s="9" t="s">
        <v>487</v>
      </c>
      <c r="N53" s="9" t="s">
        <v>487</v>
      </c>
      <c r="O53" s="9" t="s">
        <v>488</v>
      </c>
      <c r="P53" s="9" t="s">
        <v>488</v>
      </c>
      <c r="Q53" s="9" t="s">
        <v>487</v>
      </c>
      <c r="R53" s="9" t="s">
        <v>487</v>
      </c>
      <c r="S53" s="9" t="s">
        <v>487</v>
      </c>
      <c r="T53" s="9" t="s">
        <v>487</v>
      </c>
      <c r="U53" s="9" t="s">
        <v>487</v>
      </c>
      <c r="V53" s="9" t="s">
        <v>488</v>
      </c>
      <c r="W53" s="9" t="s">
        <v>487</v>
      </c>
      <c r="X53" s="9" t="s">
        <v>487</v>
      </c>
      <c r="Y53" s="9" t="s">
        <v>487</v>
      </c>
      <c r="Z53" s="9" t="s">
        <v>487</v>
      </c>
      <c r="AA53" s="9" t="s">
        <v>487</v>
      </c>
      <c r="AB53" s="9" t="s">
        <v>487</v>
      </c>
      <c r="AC53" s="9" t="s">
        <v>488</v>
      </c>
      <c r="AD53" s="9" t="s">
        <v>487</v>
      </c>
      <c r="AE53" s="9" t="s">
        <v>487</v>
      </c>
      <c r="AF53" s="9" t="s">
        <v>487</v>
      </c>
      <c r="AG53" s="9" t="s">
        <v>487</v>
      </c>
      <c r="AH53" s="9" t="s">
        <v>490</v>
      </c>
      <c r="AI53">
        <f t="shared" si="8"/>
        <v>25</v>
      </c>
      <c r="AJ53">
        <f t="shared" si="9"/>
        <v>1</v>
      </c>
      <c r="AK53">
        <f t="shared" si="10"/>
        <v>0</v>
      </c>
      <c r="AL53">
        <f t="shared" si="11"/>
        <v>0</v>
      </c>
      <c r="AM53">
        <f t="shared" si="12"/>
        <v>0</v>
      </c>
      <c r="AN53">
        <f t="shared" si="13"/>
        <v>0</v>
      </c>
      <c r="AO53">
        <f t="shared" si="14"/>
        <v>25</v>
      </c>
      <c r="AP53" s="66">
        <f t="shared" si="7"/>
        <v>96.15384615384616</v>
      </c>
    </row>
    <row r="54" spans="1:42">
      <c r="A54" t="s">
        <v>62</v>
      </c>
      <c r="B54" t="str">
        <f>_xlfn.XLOOKUP(A54,Table1[Emp_ID],Table1[Full_Name ])</f>
        <v>Ravi</v>
      </c>
      <c r="C54" t="str">
        <f>_xlfn.XLOOKUP(A54,Table1[Emp_ID],Table1[Department])</f>
        <v>Warehouse</v>
      </c>
      <c r="D54" s="9" t="s">
        <v>487</v>
      </c>
      <c r="E54" s="9" t="s">
        <v>487</v>
      </c>
      <c r="F54" s="9" t="s">
        <v>487</v>
      </c>
      <c r="G54" s="9" t="s">
        <v>487</v>
      </c>
      <c r="H54" s="9" t="s">
        <v>488</v>
      </c>
      <c r="I54" s="9" t="s">
        <v>487</v>
      </c>
      <c r="J54" s="9" t="s">
        <v>487</v>
      </c>
      <c r="K54" s="9" t="s">
        <v>487</v>
      </c>
      <c r="L54" s="9" t="s">
        <v>487</v>
      </c>
      <c r="M54" s="9" t="s">
        <v>491</v>
      </c>
      <c r="N54" s="9" t="s">
        <v>491</v>
      </c>
      <c r="O54" s="9" t="s">
        <v>488</v>
      </c>
      <c r="P54" s="9" t="s">
        <v>488</v>
      </c>
      <c r="Q54" s="9" t="s">
        <v>487</v>
      </c>
      <c r="R54" s="9" t="s">
        <v>487</v>
      </c>
      <c r="S54" s="9" t="s">
        <v>487</v>
      </c>
      <c r="T54" s="9" t="s">
        <v>487</v>
      </c>
      <c r="U54" s="9" t="s">
        <v>487</v>
      </c>
      <c r="V54" s="9" t="s">
        <v>488</v>
      </c>
      <c r="W54" s="9" t="s">
        <v>487</v>
      </c>
      <c r="X54" s="9" t="s">
        <v>487</v>
      </c>
      <c r="Y54" s="9" t="s">
        <v>487</v>
      </c>
      <c r="Z54" s="9" t="s">
        <v>487</v>
      </c>
      <c r="AA54" s="9" t="s">
        <v>487</v>
      </c>
      <c r="AB54" s="9" t="s">
        <v>487</v>
      </c>
      <c r="AC54" s="9" t="s">
        <v>488</v>
      </c>
      <c r="AD54" s="9" t="s">
        <v>487</v>
      </c>
      <c r="AE54" s="9" t="s">
        <v>487</v>
      </c>
      <c r="AF54" s="9" t="s">
        <v>487</v>
      </c>
      <c r="AG54" s="9" t="s">
        <v>487</v>
      </c>
      <c r="AH54" s="9" t="s">
        <v>487</v>
      </c>
      <c r="AI54">
        <f t="shared" si="8"/>
        <v>24</v>
      </c>
      <c r="AJ54">
        <f t="shared" si="9"/>
        <v>0</v>
      </c>
      <c r="AK54">
        <f t="shared" si="10"/>
        <v>0</v>
      </c>
      <c r="AL54">
        <f t="shared" si="11"/>
        <v>2</v>
      </c>
      <c r="AM54">
        <f t="shared" si="12"/>
        <v>0</v>
      </c>
      <c r="AN54">
        <f t="shared" si="13"/>
        <v>0</v>
      </c>
      <c r="AO54">
        <f t="shared" si="14"/>
        <v>26</v>
      </c>
      <c r="AP54" s="66">
        <f t="shared" si="7"/>
        <v>100</v>
      </c>
    </row>
    <row r="55" spans="1:42">
      <c r="A55" t="s">
        <v>63</v>
      </c>
      <c r="B55" t="str">
        <f>_xlfn.XLOOKUP(A55,Table1[Emp_ID],Table1[Full_Name ])</f>
        <v>Suraj</v>
      </c>
      <c r="C55" t="str">
        <f>_xlfn.XLOOKUP(A55,Table1[Emp_ID],Table1[Department])</f>
        <v>Warehouse</v>
      </c>
      <c r="D55" s="9" t="s">
        <v>487</v>
      </c>
      <c r="E55" s="9" t="s">
        <v>487</v>
      </c>
      <c r="F55" s="9" t="s">
        <v>487</v>
      </c>
      <c r="G55" s="9" t="s">
        <v>487</v>
      </c>
      <c r="H55" s="9" t="s">
        <v>488</v>
      </c>
      <c r="I55" s="9" t="s">
        <v>487</v>
      </c>
      <c r="J55" s="9" t="s">
        <v>487</v>
      </c>
      <c r="K55" s="9" t="s">
        <v>487</v>
      </c>
      <c r="L55" s="9" t="s">
        <v>487</v>
      </c>
      <c r="M55" s="9" t="s">
        <v>487</v>
      </c>
      <c r="N55" s="9" t="s">
        <v>487</v>
      </c>
      <c r="O55" s="9" t="s">
        <v>488</v>
      </c>
      <c r="P55" s="9" t="s">
        <v>488</v>
      </c>
      <c r="Q55" s="9" t="s">
        <v>487</v>
      </c>
      <c r="R55" s="9" t="s">
        <v>487</v>
      </c>
      <c r="S55" s="9" t="s">
        <v>487</v>
      </c>
      <c r="T55" s="9" t="s">
        <v>487</v>
      </c>
      <c r="U55" s="9" t="s">
        <v>487</v>
      </c>
      <c r="V55" s="9" t="s">
        <v>488</v>
      </c>
      <c r="W55" s="9" t="s">
        <v>487</v>
      </c>
      <c r="X55" s="9" t="s">
        <v>487</v>
      </c>
      <c r="Y55" s="9" t="s">
        <v>487</v>
      </c>
      <c r="Z55" s="9" t="s">
        <v>487</v>
      </c>
      <c r="AA55" s="9" t="s">
        <v>487</v>
      </c>
      <c r="AB55" s="9" t="s">
        <v>487</v>
      </c>
      <c r="AC55" s="9" t="s">
        <v>488</v>
      </c>
      <c r="AD55" s="9" t="s">
        <v>487</v>
      </c>
      <c r="AE55" s="9" t="s">
        <v>487</v>
      </c>
      <c r="AF55" s="9" t="s">
        <v>492</v>
      </c>
      <c r="AG55" s="9" t="s">
        <v>487</v>
      </c>
      <c r="AH55" s="9" t="s">
        <v>487</v>
      </c>
      <c r="AI55">
        <f t="shared" si="8"/>
        <v>25</v>
      </c>
      <c r="AJ55">
        <f t="shared" si="9"/>
        <v>0</v>
      </c>
      <c r="AK55">
        <f t="shared" si="10"/>
        <v>0</v>
      </c>
      <c r="AL55">
        <f t="shared" si="11"/>
        <v>0</v>
      </c>
      <c r="AM55">
        <f t="shared" si="12"/>
        <v>0</v>
      </c>
      <c r="AN55">
        <f t="shared" si="13"/>
        <v>1</v>
      </c>
      <c r="AO55">
        <f t="shared" si="14"/>
        <v>25</v>
      </c>
      <c r="AP55" s="66">
        <f t="shared" si="7"/>
        <v>96.15384615384616</v>
      </c>
    </row>
    <row r="56" spans="1:42">
      <c r="A56" t="s">
        <v>64</v>
      </c>
      <c r="B56" t="str">
        <f>_xlfn.XLOOKUP(A56,Table1[Emp_ID],Table1[Full_Name ])</f>
        <v>Karan</v>
      </c>
      <c r="C56" t="str">
        <f>_xlfn.XLOOKUP(A56,Table1[Emp_ID],Table1[Department])</f>
        <v>Marketing</v>
      </c>
      <c r="D56" s="9" t="s">
        <v>487</v>
      </c>
      <c r="E56" s="9" t="s">
        <v>487</v>
      </c>
      <c r="F56" s="9" t="s">
        <v>487</v>
      </c>
      <c r="G56" s="9" t="s">
        <v>487</v>
      </c>
      <c r="H56" s="9" t="s">
        <v>488</v>
      </c>
      <c r="I56" s="9" t="s">
        <v>487</v>
      </c>
      <c r="J56" s="9" t="s">
        <v>487</v>
      </c>
      <c r="K56" s="9" t="s">
        <v>487</v>
      </c>
      <c r="L56" s="9" t="s">
        <v>487</v>
      </c>
      <c r="M56" s="9" t="s">
        <v>487</v>
      </c>
      <c r="N56" s="9" t="s">
        <v>487</v>
      </c>
      <c r="O56" s="9" t="s">
        <v>488</v>
      </c>
      <c r="P56" s="9" t="s">
        <v>488</v>
      </c>
      <c r="Q56" s="9" t="s">
        <v>487</v>
      </c>
      <c r="R56" s="9" t="s">
        <v>487</v>
      </c>
      <c r="S56" s="9" t="s">
        <v>487</v>
      </c>
      <c r="T56" s="9" t="s">
        <v>487</v>
      </c>
      <c r="U56" s="9" t="s">
        <v>487</v>
      </c>
      <c r="V56" s="9" t="s">
        <v>488</v>
      </c>
      <c r="W56" s="9" t="s">
        <v>487</v>
      </c>
      <c r="X56" s="9" t="s">
        <v>487</v>
      </c>
      <c r="Y56" s="9" t="s">
        <v>487</v>
      </c>
      <c r="Z56" s="9" t="s">
        <v>487</v>
      </c>
      <c r="AA56" s="9" t="s">
        <v>487</v>
      </c>
      <c r="AB56" s="9" t="s">
        <v>487</v>
      </c>
      <c r="AC56" s="9" t="s">
        <v>488</v>
      </c>
      <c r="AD56" s="9" t="s">
        <v>487</v>
      </c>
      <c r="AE56" s="9" t="s">
        <v>487</v>
      </c>
      <c r="AF56" s="9" t="s">
        <v>487</v>
      </c>
      <c r="AG56" s="9" t="s">
        <v>487</v>
      </c>
      <c r="AH56" s="9" t="s">
        <v>487</v>
      </c>
      <c r="AI56">
        <f t="shared" si="8"/>
        <v>26</v>
      </c>
      <c r="AJ56">
        <f t="shared" si="9"/>
        <v>0</v>
      </c>
      <c r="AK56">
        <f t="shared" si="10"/>
        <v>0</v>
      </c>
      <c r="AL56">
        <f t="shared" si="11"/>
        <v>0</v>
      </c>
      <c r="AM56">
        <f t="shared" si="12"/>
        <v>0</v>
      </c>
      <c r="AN56">
        <f t="shared" si="13"/>
        <v>0</v>
      </c>
      <c r="AO56">
        <f t="shared" si="14"/>
        <v>26</v>
      </c>
      <c r="AP56" s="66">
        <f t="shared" si="7"/>
        <v>100</v>
      </c>
    </row>
    <row r="57" spans="1:42">
      <c r="A57" t="s">
        <v>65</v>
      </c>
      <c r="B57" t="str">
        <f>_xlfn.XLOOKUP(A57,Table1[Emp_ID],Table1[Full_Name ])</f>
        <v>Sameer</v>
      </c>
      <c r="C57" t="str">
        <f>_xlfn.XLOOKUP(A57,Table1[Emp_ID],Table1[Department])</f>
        <v>Marketing</v>
      </c>
      <c r="D57" s="9" t="s">
        <v>487</v>
      </c>
      <c r="E57" s="9" t="s">
        <v>487</v>
      </c>
      <c r="F57" s="9" t="s">
        <v>487</v>
      </c>
      <c r="G57" s="9" t="s">
        <v>487</v>
      </c>
      <c r="H57" s="9" t="s">
        <v>488</v>
      </c>
      <c r="I57" s="9" t="s">
        <v>487</v>
      </c>
      <c r="J57" s="9" t="s">
        <v>487</v>
      </c>
      <c r="K57" s="9" t="s">
        <v>487</v>
      </c>
      <c r="L57" s="9" t="s">
        <v>487</v>
      </c>
      <c r="M57" s="9" t="s">
        <v>487</v>
      </c>
      <c r="N57" s="9" t="s">
        <v>487</v>
      </c>
      <c r="O57" s="9" t="s">
        <v>488</v>
      </c>
      <c r="P57" s="9" t="s">
        <v>488</v>
      </c>
      <c r="Q57" s="9" t="s">
        <v>487</v>
      </c>
      <c r="R57" s="9" t="s">
        <v>489</v>
      </c>
      <c r="S57" s="9" t="s">
        <v>489</v>
      </c>
      <c r="T57" s="9" t="s">
        <v>487</v>
      </c>
      <c r="U57" s="9" t="s">
        <v>487</v>
      </c>
      <c r="V57" s="9" t="s">
        <v>488</v>
      </c>
      <c r="W57" s="9" t="s">
        <v>490</v>
      </c>
      <c r="X57" s="9" t="s">
        <v>487</v>
      </c>
      <c r="Y57" s="9" t="s">
        <v>487</v>
      </c>
      <c r="Z57" s="9" t="s">
        <v>487</v>
      </c>
      <c r="AA57" s="9" t="s">
        <v>487</v>
      </c>
      <c r="AB57" s="9" t="s">
        <v>487</v>
      </c>
      <c r="AC57" s="9" t="s">
        <v>488</v>
      </c>
      <c r="AD57" s="9" t="s">
        <v>487</v>
      </c>
      <c r="AE57" s="9" t="s">
        <v>487</v>
      </c>
      <c r="AF57" s="9" t="s">
        <v>487</v>
      </c>
      <c r="AG57" s="9" t="s">
        <v>490</v>
      </c>
      <c r="AH57" s="9" t="s">
        <v>487</v>
      </c>
      <c r="AI57">
        <f t="shared" si="8"/>
        <v>22</v>
      </c>
      <c r="AJ57">
        <f t="shared" si="9"/>
        <v>2</v>
      </c>
      <c r="AK57">
        <f t="shared" si="10"/>
        <v>2</v>
      </c>
      <c r="AL57">
        <f t="shared" si="11"/>
        <v>0</v>
      </c>
      <c r="AM57">
        <f t="shared" si="12"/>
        <v>0</v>
      </c>
      <c r="AN57">
        <f t="shared" si="13"/>
        <v>0</v>
      </c>
      <c r="AO57">
        <f t="shared" si="14"/>
        <v>24</v>
      </c>
      <c r="AP57" s="66">
        <f t="shared" si="7"/>
        <v>92.307692307692307</v>
      </c>
    </row>
    <row r="58" spans="1:42">
      <c r="A58" t="s">
        <v>66</v>
      </c>
      <c r="B58" t="str">
        <f>_xlfn.XLOOKUP(A58,Table1[Emp_ID],Table1[Full_Name ])</f>
        <v>Imran</v>
      </c>
      <c r="C58" t="str">
        <f>_xlfn.XLOOKUP(A58,Table1[Emp_ID],Table1[Department])</f>
        <v>Marketing</v>
      </c>
      <c r="D58" s="9" t="s">
        <v>487</v>
      </c>
      <c r="E58" s="9" t="s">
        <v>487</v>
      </c>
      <c r="F58" s="9" t="s">
        <v>489</v>
      </c>
      <c r="G58" s="9" t="s">
        <v>489</v>
      </c>
      <c r="H58" s="9" t="s">
        <v>488</v>
      </c>
      <c r="I58" s="9" t="s">
        <v>487</v>
      </c>
      <c r="J58" s="9" t="s">
        <v>487</v>
      </c>
      <c r="K58" s="9" t="s">
        <v>487</v>
      </c>
      <c r="L58" s="9" t="s">
        <v>487</v>
      </c>
      <c r="M58" s="9" t="s">
        <v>487</v>
      </c>
      <c r="N58" s="9" t="s">
        <v>487</v>
      </c>
      <c r="O58" s="9" t="s">
        <v>488</v>
      </c>
      <c r="P58" s="9" t="s">
        <v>488</v>
      </c>
      <c r="Q58" s="9" t="s">
        <v>487</v>
      </c>
      <c r="R58" s="9" t="s">
        <v>489</v>
      </c>
      <c r="S58" s="9" t="s">
        <v>489</v>
      </c>
      <c r="T58" s="9" t="s">
        <v>487</v>
      </c>
      <c r="U58" s="9" t="s">
        <v>487</v>
      </c>
      <c r="V58" s="9" t="s">
        <v>488</v>
      </c>
      <c r="W58" s="9" t="s">
        <v>487</v>
      </c>
      <c r="X58" s="9" t="s">
        <v>487</v>
      </c>
      <c r="Y58" s="9" t="s">
        <v>487</v>
      </c>
      <c r="Z58" s="9" t="s">
        <v>487</v>
      </c>
      <c r="AA58" s="9" t="s">
        <v>490</v>
      </c>
      <c r="AB58" s="9" t="s">
        <v>487</v>
      </c>
      <c r="AC58" s="9" t="s">
        <v>488</v>
      </c>
      <c r="AD58" s="9" t="s">
        <v>487</v>
      </c>
      <c r="AE58" s="9" t="s">
        <v>487</v>
      </c>
      <c r="AF58" s="9" t="s">
        <v>487</v>
      </c>
      <c r="AG58" s="9" t="s">
        <v>487</v>
      </c>
      <c r="AH58" s="9" t="s">
        <v>487</v>
      </c>
      <c r="AI58">
        <f t="shared" si="8"/>
        <v>21</v>
      </c>
      <c r="AJ58">
        <f t="shared" si="9"/>
        <v>1</v>
      </c>
      <c r="AK58">
        <f t="shared" si="10"/>
        <v>4</v>
      </c>
      <c r="AL58">
        <f t="shared" si="11"/>
        <v>0</v>
      </c>
      <c r="AM58">
        <f t="shared" si="12"/>
        <v>0</v>
      </c>
      <c r="AN58">
        <f t="shared" si="13"/>
        <v>0</v>
      </c>
      <c r="AO58">
        <f t="shared" si="14"/>
        <v>25</v>
      </c>
      <c r="AP58" s="66">
        <f t="shared" si="7"/>
        <v>96.15384615384616</v>
      </c>
    </row>
    <row r="59" spans="1:42">
      <c r="A59" t="s">
        <v>67</v>
      </c>
      <c r="B59" t="str">
        <f>_xlfn.XLOOKUP(A59,Table1[Emp_ID],Table1[Full_Name ])</f>
        <v>Faizan</v>
      </c>
      <c r="C59" t="str">
        <f>_xlfn.XLOOKUP(A59,Table1[Emp_ID],Table1[Department])</f>
        <v>Marketing</v>
      </c>
      <c r="D59" s="9" t="s">
        <v>487</v>
      </c>
      <c r="E59" s="9" t="s">
        <v>487</v>
      </c>
      <c r="F59" s="9" t="s">
        <v>487</v>
      </c>
      <c r="G59" s="9" t="s">
        <v>487</v>
      </c>
      <c r="H59" s="9" t="s">
        <v>488</v>
      </c>
      <c r="I59" s="9" t="s">
        <v>487</v>
      </c>
      <c r="J59" s="9" t="s">
        <v>490</v>
      </c>
      <c r="K59" s="9" t="s">
        <v>487</v>
      </c>
      <c r="L59" s="9" t="s">
        <v>487</v>
      </c>
      <c r="M59" s="9" t="s">
        <v>487</v>
      </c>
      <c r="N59" s="9" t="s">
        <v>487</v>
      </c>
      <c r="O59" s="9" t="s">
        <v>488</v>
      </c>
      <c r="P59" s="9" t="s">
        <v>488</v>
      </c>
      <c r="Q59" s="9" t="s">
        <v>487</v>
      </c>
      <c r="R59" s="9" t="s">
        <v>487</v>
      </c>
      <c r="S59" s="9" t="s">
        <v>487</v>
      </c>
      <c r="T59" s="9" t="s">
        <v>487</v>
      </c>
      <c r="U59" s="9" t="s">
        <v>487</v>
      </c>
      <c r="V59" s="9" t="s">
        <v>488</v>
      </c>
      <c r="W59" s="9" t="s">
        <v>487</v>
      </c>
      <c r="X59" s="9" t="s">
        <v>487</v>
      </c>
      <c r="Y59" s="9" t="s">
        <v>487</v>
      </c>
      <c r="Z59" s="9" t="s">
        <v>487</v>
      </c>
      <c r="AA59" s="9" t="s">
        <v>487</v>
      </c>
      <c r="AB59" s="9" t="s">
        <v>487</v>
      </c>
      <c r="AC59" s="9" t="s">
        <v>488</v>
      </c>
      <c r="AD59" s="9" t="s">
        <v>487</v>
      </c>
      <c r="AE59" s="9" t="s">
        <v>487</v>
      </c>
      <c r="AF59" s="9" t="s">
        <v>487</v>
      </c>
      <c r="AG59" s="9" t="s">
        <v>487</v>
      </c>
      <c r="AH59" s="9" t="s">
        <v>487</v>
      </c>
      <c r="AI59">
        <f t="shared" si="8"/>
        <v>25</v>
      </c>
      <c r="AJ59">
        <f t="shared" si="9"/>
        <v>1</v>
      </c>
      <c r="AK59">
        <f t="shared" si="10"/>
        <v>0</v>
      </c>
      <c r="AL59">
        <f t="shared" si="11"/>
        <v>0</v>
      </c>
      <c r="AM59">
        <f t="shared" si="12"/>
        <v>0</v>
      </c>
      <c r="AN59">
        <f t="shared" si="13"/>
        <v>0</v>
      </c>
      <c r="AO59">
        <f t="shared" si="14"/>
        <v>25</v>
      </c>
      <c r="AP59" s="66">
        <f t="shared" si="7"/>
        <v>96.15384615384616</v>
      </c>
    </row>
    <row r="60" spans="1:42">
      <c r="A60" t="s">
        <v>68</v>
      </c>
      <c r="B60" t="str">
        <f>_xlfn.XLOOKUP(A60,Table1[Emp_ID],Table1[Full_Name ])</f>
        <v>Arman</v>
      </c>
      <c r="C60" t="str">
        <f>_xlfn.XLOOKUP(A60,Table1[Emp_ID],Table1[Department])</f>
        <v>Marketing</v>
      </c>
      <c r="D60" s="9" t="s">
        <v>487</v>
      </c>
      <c r="E60" s="9" t="s">
        <v>490</v>
      </c>
      <c r="F60" s="9" t="s">
        <v>487</v>
      </c>
      <c r="G60" s="9" t="s">
        <v>487</v>
      </c>
      <c r="H60" s="9" t="s">
        <v>488</v>
      </c>
      <c r="I60" s="9" t="s">
        <v>487</v>
      </c>
      <c r="J60" s="9" t="s">
        <v>487</v>
      </c>
      <c r="K60" s="9" t="s">
        <v>487</v>
      </c>
      <c r="L60" s="9" t="s">
        <v>487</v>
      </c>
      <c r="M60" s="9" t="s">
        <v>487</v>
      </c>
      <c r="N60" s="9" t="s">
        <v>490</v>
      </c>
      <c r="O60" s="9" t="s">
        <v>488</v>
      </c>
      <c r="P60" s="9" t="s">
        <v>488</v>
      </c>
      <c r="Q60" s="9" t="s">
        <v>487</v>
      </c>
      <c r="R60" s="9" t="s">
        <v>487</v>
      </c>
      <c r="S60" s="9" t="s">
        <v>487</v>
      </c>
      <c r="T60" s="9" t="s">
        <v>487</v>
      </c>
      <c r="U60" s="9" t="s">
        <v>487</v>
      </c>
      <c r="V60" s="9" t="s">
        <v>488</v>
      </c>
      <c r="W60" s="9" t="s">
        <v>487</v>
      </c>
      <c r="X60" s="9" t="s">
        <v>487</v>
      </c>
      <c r="Y60" s="9" t="s">
        <v>492</v>
      </c>
      <c r="Z60" s="9" t="s">
        <v>487</v>
      </c>
      <c r="AA60" s="9" t="s">
        <v>487</v>
      </c>
      <c r="AB60" s="9" t="s">
        <v>487</v>
      </c>
      <c r="AC60" s="9" t="s">
        <v>488</v>
      </c>
      <c r="AD60" s="9" t="s">
        <v>487</v>
      </c>
      <c r="AE60" s="9" t="s">
        <v>490</v>
      </c>
      <c r="AF60" s="9" t="s">
        <v>487</v>
      </c>
      <c r="AG60" s="9" t="s">
        <v>487</v>
      </c>
      <c r="AH60" s="9" t="s">
        <v>487</v>
      </c>
      <c r="AI60">
        <f t="shared" si="8"/>
        <v>22</v>
      </c>
      <c r="AJ60">
        <f t="shared" si="9"/>
        <v>3</v>
      </c>
      <c r="AK60">
        <f t="shared" si="10"/>
        <v>0</v>
      </c>
      <c r="AL60">
        <f t="shared" si="11"/>
        <v>0</v>
      </c>
      <c r="AM60">
        <f t="shared" si="12"/>
        <v>0</v>
      </c>
      <c r="AN60">
        <f t="shared" si="13"/>
        <v>1</v>
      </c>
      <c r="AO60">
        <f t="shared" si="14"/>
        <v>22</v>
      </c>
      <c r="AP60" s="66">
        <f t="shared" si="7"/>
        <v>84.615384615384613</v>
      </c>
    </row>
    <row r="61" spans="1:42">
      <c r="A61" t="s">
        <v>69</v>
      </c>
      <c r="B61" t="str">
        <f>_xlfn.XLOOKUP(A61,Table1[Emp_ID],Table1[Full_Name ])</f>
        <v>Salman</v>
      </c>
      <c r="C61" t="str">
        <f>_xlfn.XLOOKUP(A61,Table1[Emp_ID],Table1[Department])</f>
        <v>Marketing</v>
      </c>
      <c r="D61" s="9" t="s">
        <v>487</v>
      </c>
      <c r="E61" s="9" t="s">
        <v>487</v>
      </c>
      <c r="F61" s="9" t="s">
        <v>487</v>
      </c>
      <c r="G61" s="9" t="s">
        <v>487</v>
      </c>
      <c r="H61" s="9" t="s">
        <v>488</v>
      </c>
      <c r="I61" s="9" t="s">
        <v>487</v>
      </c>
      <c r="J61" s="9" t="s">
        <v>487</v>
      </c>
      <c r="K61" s="9" t="s">
        <v>487</v>
      </c>
      <c r="L61" s="9" t="s">
        <v>487</v>
      </c>
      <c r="M61" s="9" t="s">
        <v>487</v>
      </c>
      <c r="N61" s="9" t="s">
        <v>487</v>
      </c>
      <c r="O61" s="9" t="s">
        <v>488</v>
      </c>
      <c r="P61" s="9" t="s">
        <v>488</v>
      </c>
      <c r="Q61" s="9" t="s">
        <v>487</v>
      </c>
      <c r="R61" s="9" t="s">
        <v>487</v>
      </c>
      <c r="S61" s="9" t="s">
        <v>487</v>
      </c>
      <c r="T61" s="9" t="s">
        <v>487</v>
      </c>
      <c r="U61" s="9" t="s">
        <v>487</v>
      </c>
      <c r="V61" s="9" t="s">
        <v>488</v>
      </c>
      <c r="W61" s="9" t="s">
        <v>487</v>
      </c>
      <c r="X61" s="9" t="s">
        <v>487</v>
      </c>
      <c r="Y61" s="9" t="s">
        <v>487</v>
      </c>
      <c r="Z61" s="9" t="s">
        <v>487</v>
      </c>
      <c r="AA61" s="9" t="s">
        <v>487</v>
      </c>
      <c r="AB61" s="9" t="s">
        <v>487</v>
      </c>
      <c r="AC61" s="9" t="s">
        <v>488</v>
      </c>
      <c r="AD61" s="9" t="s">
        <v>487</v>
      </c>
      <c r="AE61" s="9" t="s">
        <v>487</v>
      </c>
      <c r="AF61" s="9" t="s">
        <v>487</v>
      </c>
      <c r="AG61" s="9" t="s">
        <v>487</v>
      </c>
      <c r="AH61" s="9" t="s">
        <v>487</v>
      </c>
      <c r="AI61">
        <f t="shared" si="8"/>
        <v>26</v>
      </c>
      <c r="AJ61">
        <f t="shared" si="9"/>
        <v>0</v>
      </c>
      <c r="AK61">
        <f t="shared" si="10"/>
        <v>0</v>
      </c>
      <c r="AL61">
        <f t="shared" si="11"/>
        <v>0</v>
      </c>
      <c r="AM61">
        <f t="shared" si="12"/>
        <v>0</v>
      </c>
      <c r="AN61">
        <f t="shared" si="13"/>
        <v>0</v>
      </c>
      <c r="AO61">
        <f t="shared" si="14"/>
        <v>26</v>
      </c>
      <c r="AP61" s="66">
        <f t="shared" si="7"/>
        <v>100</v>
      </c>
    </row>
    <row r="62" spans="1:42">
      <c r="A62" t="s">
        <v>70</v>
      </c>
      <c r="B62" t="str">
        <f>_xlfn.XLOOKUP(A62,Table1[Emp_ID],Table1[Full_Name ])</f>
        <v>Zaid</v>
      </c>
      <c r="C62" t="str">
        <f>_xlfn.XLOOKUP(A62,Table1[Emp_ID],Table1[Department])</f>
        <v>Marketing</v>
      </c>
      <c r="D62" s="9" t="s">
        <v>487</v>
      </c>
      <c r="E62" s="9" t="s">
        <v>487</v>
      </c>
      <c r="F62" s="9" t="s">
        <v>487</v>
      </c>
      <c r="G62" s="9" t="s">
        <v>487</v>
      </c>
      <c r="H62" s="9" t="s">
        <v>488</v>
      </c>
      <c r="I62" s="9" t="s">
        <v>487</v>
      </c>
      <c r="J62" s="9" t="s">
        <v>487</v>
      </c>
      <c r="K62" s="9" t="s">
        <v>487</v>
      </c>
      <c r="L62" s="9" t="s">
        <v>492</v>
      </c>
      <c r="M62" s="9" t="s">
        <v>487</v>
      </c>
      <c r="N62" s="9" t="s">
        <v>487</v>
      </c>
      <c r="O62" s="9" t="s">
        <v>488</v>
      </c>
      <c r="P62" s="9" t="s">
        <v>488</v>
      </c>
      <c r="Q62" s="9" t="s">
        <v>487</v>
      </c>
      <c r="R62" s="9" t="s">
        <v>487</v>
      </c>
      <c r="S62" s="9" t="s">
        <v>487</v>
      </c>
      <c r="T62" s="9" t="s">
        <v>487</v>
      </c>
      <c r="U62" s="9" t="s">
        <v>487</v>
      </c>
      <c r="V62" s="9" t="s">
        <v>488</v>
      </c>
      <c r="W62" s="9" t="s">
        <v>487</v>
      </c>
      <c r="X62" s="9" t="s">
        <v>487</v>
      </c>
      <c r="Y62" s="9" t="s">
        <v>487</v>
      </c>
      <c r="Z62" s="9" t="s">
        <v>490</v>
      </c>
      <c r="AA62" s="9" t="s">
        <v>487</v>
      </c>
      <c r="AB62" s="9" t="s">
        <v>487</v>
      </c>
      <c r="AC62" s="9" t="s">
        <v>488</v>
      </c>
      <c r="AD62" s="9" t="s">
        <v>487</v>
      </c>
      <c r="AE62" s="9" t="s">
        <v>487</v>
      </c>
      <c r="AF62" s="9" t="s">
        <v>487</v>
      </c>
      <c r="AG62" s="9" t="s">
        <v>487</v>
      </c>
      <c r="AH62" s="9" t="s">
        <v>487</v>
      </c>
      <c r="AI62">
        <f t="shared" si="8"/>
        <v>24</v>
      </c>
      <c r="AJ62">
        <f t="shared" si="9"/>
        <v>1</v>
      </c>
      <c r="AK62">
        <f t="shared" si="10"/>
        <v>0</v>
      </c>
      <c r="AL62">
        <f t="shared" si="11"/>
        <v>0</v>
      </c>
      <c r="AM62">
        <f t="shared" si="12"/>
        <v>0</v>
      </c>
      <c r="AN62">
        <f t="shared" si="13"/>
        <v>1</v>
      </c>
      <c r="AO62">
        <f t="shared" si="14"/>
        <v>24</v>
      </c>
      <c r="AP62" s="66">
        <f t="shared" si="7"/>
        <v>92.307692307692307</v>
      </c>
    </row>
    <row r="63" spans="1:42">
      <c r="A63" t="s">
        <v>71</v>
      </c>
      <c r="B63" t="str">
        <f>_xlfn.XLOOKUP(A63,Table1[Emp_ID],Table1[Full_Name ])</f>
        <v>Irfan</v>
      </c>
      <c r="C63" t="str">
        <f>_xlfn.XLOOKUP(A63,Table1[Emp_ID],Table1[Department])</f>
        <v>Marketing</v>
      </c>
      <c r="D63" s="9" t="s">
        <v>487</v>
      </c>
      <c r="E63" s="9" t="s">
        <v>487</v>
      </c>
      <c r="F63" s="9" t="s">
        <v>487</v>
      </c>
      <c r="G63" s="9" t="s">
        <v>487</v>
      </c>
      <c r="H63" s="9" t="s">
        <v>488</v>
      </c>
      <c r="I63" s="9" t="s">
        <v>490</v>
      </c>
      <c r="J63" s="9" t="s">
        <v>487</v>
      </c>
      <c r="K63" s="9" t="s">
        <v>487</v>
      </c>
      <c r="L63" s="9" t="s">
        <v>487</v>
      </c>
      <c r="M63" s="9" t="s">
        <v>487</v>
      </c>
      <c r="N63" s="9" t="s">
        <v>487</v>
      </c>
      <c r="O63" s="9" t="s">
        <v>488</v>
      </c>
      <c r="P63" s="9" t="s">
        <v>488</v>
      </c>
      <c r="Q63" s="9" t="s">
        <v>487</v>
      </c>
      <c r="R63" s="9" t="s">
        <v>487</v>
      </c>
      <c r="S63" s="9" t="s">
        <v>487</v>
      </c>
      <c r="T63" s="9" t="s">
        <v>487</v>
      </c>
      <c r="U63" s="9" t="s">
        <v>487</v>
      </c>
      <c r="V63" s="9" t="s">
        <v>488</v>
      </c>
      <c r="W63" s="9" t="s">
        <v>487</v>
      </c>
      <c r="X63" s="9" t="s">
        <v>487</v>
      </c>
      <c r="Y63" s="9" t="s">
        <v>487</v>
      </c>
      <c r="Z63" s="9" t="s">
        <v>487</v>
      </c>
      <c r="AA63" s="9" t="s">
        <v>487</v>
      </c>
      <c r="AB63" s="9" t="s">
        <v>487</v>
      </c>
      <c r="AC63" s="9" t="s">
        <v>488</v>
      </c>
      <c r="AD63" s="9" t="s">
        <v>487</v>
      </c>
      <c r="AE63" s="9" t="s">
        <v>487</v>
      </c>
      <c r="AF63" s="9" t="s">
        <v>487</v>
      </c>
      <c r="AG63" s="9" t="s">
        <v>487</v>
      </c>
      <c r="AH63" s="9" t="s">
        <v>487</v>
      </c>
      <c r="AI63">
        <f t="shared" si="8"/>
        <v>25</v>
      </c>
      <c r="AJ63">
        <f t="shared" si="9"/>
        <v>1</v>
      </c>
      <c r="AK63">
        <f t="shared" si="10"/>
        <v>0</v>
      </c>
      <c r="AL63">
        <f t="shared" si="11"/>
        <v>0</v>
      </c>
      <c r="AM63">
        <f t="shared" si="12"/>
        <v>0</v>
      </c>
      <c r="AN63">
        <f t="shared" si="13"/>
        <v>0</v>
      </c>
      <c r="AO63">
        <f t="shared" si="14"/>
        <v>25</v>
      </c>
      <c r="AP63" s="66">
        <f t="shared" si="7"/>
        <v>96.15384615384616</v>
      </c>
    </row>
    <row r="64" spans="1:42">
      <c r="A64" t="s">
        <v>72</v>
      </c>
      <c r="B64" t="str">
        <f>_xlfn.XLOOKUP(A64,Table1[Emp_ID],Table1[Full_Name ])</f>
        <v>Junaid</v>
      </c>
      <c r="C64" t="str">
        <f>_xlfn.XLOOKUP(A64,Table1[Emp_ID],Table1[Department])</f>
        <v>Marketing</v>
      </c>
      <c r="D64" s="9" t="s">
        <v>491</v>
      </c>
      <c r="E64" s="9" t="s">
        <v>491</v>
      </c>
      <c r="F64" s="9" t="s">
        <v>487</v>
      </c>
      <c r="G64" s="9" t="s">
        <v>487</v>
      </c>
      <c r="H64" s="9" t="s">
        <v>488</v>
      </c>
      <c r="I64" s="9" t="s">
        <v>487</v>
      </c>
      <c r="J64" s="9" t="s">
        <v>487</v>
      </c>
      <c r="K64" s="9" t="s">
        <v>487</v>
      </c>
      <c r="L64" s="9" t="s">
        <v>487</v>
      </c>
      <c r="M64" s="9" t="s">
        <v>490</v>
      </c>
      <c r="N64" s="9" t="s">
        <v>487</v>
      </c>
      <c r="O64" s="9" t="s">
        <v>488</v>
      </c>
      <c r="P64" s="9" t="s">
        <v>488</v>
      </c>
      <c r="Q64" s="9" t="s">
        <v>487</v>
      </c>
      <c r="R64" s="9" t="s">
        <v>489</v>
      </c>
      <c r="S64" s="9" t="s">
        <v>489</v>
      </c>
      <c r="T64" s="9" t="s">
        <v>487</v>
      </c>
      <c r="U64" s="9" t="s">
        <v>487</v>
      </c>
      <c r="V64" s="9" t="s">
        <v>488</v>
      </c>
      <c r="W64" s="9" t="s">
        <v>487</v>
      </c>
      <c r="X64" s="9" t="s">
        <v>487</v>
      </c>
      <c r="Y64" s="9" t="s">
        <v>487</v>
      </c>
      <c r="Z64" s="9" t="s">
        <v>487</v>
      </c>
      <c r="AA64" s="9" t="s">
        <v>487</v>
      </c>
      <c r="AB64" s="9" t="s">
        <v>487</v>
      </c>
      <c r="AC64" s="9" t="s">
        <v>488</v>
      </c>
      <c r="AD64" s="9" t="s">
        <v>487</v>
      </c>
      <c r="AE64" s="9" t="s">
        <v>487</v>
      </c>
      <c r="AF64" s="9" t="s">
        <v>487</v>
      </c>
      <c r="AG64" s="9" t="s">
        <v>487</v>
      </c>
      <c r="AH64" s="9" t="s">
        <v>487</v>
      </c>
      <c r="AI64">
        <f t="shared" si="8"/>
        <v>21</v>
      </c>
      <c r="AJ64">
        <f t="shared" si="9"/>
        <v>1</v>
      </c>
      <c r="AK64">
        <f t="shared" si="10"/>
        <v>2</v>
      </c>
      <c r="AL64">
        <f t="shared" si="11"/>
        <v>2</v>
      </c>
      <c r="AM64">
        <f t="shared" si="12"/>
        <v>0</v>
      </c>
      <c r="AN64">
        <f t="shared" si="13"/>
        <v>0</v>
      </c>
      <c r="AO64">
        <f t="shared" si="14"/>
        <v>25</v>
      </c>
      <c r="AP64" s="66">
        <f t="shared" si="7"/>
        <v>96.15384615384616</v>
      </c>
    </row>
    <row r="65" spans="1:42">
      <c r="A65" t="s">
        <v>73</v>
      </c>
      <c r="B65" t="str">
        <f>_xlfn.XLOOKUP(A65,Table1[Emp_ID],Table1[Full_Name ])</f>
        <v>Asif</v>
      </c>
      <c r="C65" t="str">
        <f>_xlfn.XLOOKUP(A65,Table1[Emp_ID],Table1[Department])</f>
        <v>Marketing</v>
      </c>
      <c r="D65" s="9" t="s">
        <v>487</v>
      </c>
      <c r="E65" s="9" t="s">
        <v>487</v>
      </c>
      <c r="F65" s="9" t="s">
        <v>487</v>
      </c>
      <c r="G65" s="9" t="s">
        <v>487</v>
      </c>
      <c r="H65" s="9" t="s">
        <v>488</v>
      </c>
      <c r="I65" s="9" t="s">
        <v>487</v>
      </c>
      <c r="J65" s="9" t="s">
        <v>487</v>
      </c>
      <c r="K65" s="9" t="s">
        <v>487</v>
      </c>
      <c r="L65" s="9" t="s">
        <v>487</v>
      </c>
      <c r="M65" s="9" t="s">
        <v>487</v>
      </c>
      <c r="N65" s="9" t="s">
        <v>487</v>
      </c>
      <c r="O65" s="9" t="s">
        <v>488</v>
      </c>
      <c r="P65" s="9" t="s">
        <v>488</v>
      </c>
      <c r="Q65" s="9" t="s">
        <v>487</v>
      </c>
      <c r="R65" s="9" t="s">
        <v>487</v>
      </c>
      <c r="S65" s="9" t="s">
        <v>487</v>
      </c>
      <c r="T65" s="9" t="s">
        <v>487</v>
      </c>
      <c r="U65" s="9" t="s">
        <v>487</v>
      </c>
      <c r="V65" s="9" t="s">
        <v>488</v>
      </c>
      <c r="W65" s="9" t="s">
        <v>487</v>
      </c>
      <c r="X65" s="9" t="s">
        <v>490</v>
      </c>
      <c r="Y65" s="9" t="s">
        <v>487</v>
      </c>
      <c r="Z65" s="9" t="s">
        <v>487</v>
      </c>
      <c r="AA65" s="9" t="s">
        <v>487</v>
      </c>
      <c r="AB65" s="9" t="s">
        <v>487</v>
      </c>
      <c r="AC65" s="9" t="s">
        <v>488</v>
      </c>
      <c r="AD65" s="9" t="s">
        <v>487</v>
      </c>
      <c r="AE65" s="9" t="s">
        <v>487</v>
      </c>
      <c r="AF65" s="9" t="s">
        <v>487</v>
      </c>
      <c r="AG65" s="9" t="s">
        <v>487</v>
      </c>
      <c r="AH65" s="9" t="s">
        <v>487</v>
      </c>
      <c r="AI65">
        <f t="shared" si="8"/>
        <v>25</v>
      </c>
      <c r="AJ65">
        <f t="shared" si="9"/>
        <v>1</v>
      </c>
      <c r="AK65">
        <f t="shared" si="10"/>
        <v>0</v>
      </c>
      <c r="AL65">
        <f t="shared" si="11"/>
        <v>0</v>
      </c>
      <c r="AM65">
        <f t="shared" si="12"/>
        <v>0</v>
      </c>
      <c r="AN65">
        <f t="shared" si="13"/>
        <v>0</v>
      </c>
      <c r="AO65">
        <f t="shared" si="14"/>
        <v>25</v>
      </c>
      <c r="AP65" s="66">
        <f t="shared" si="7"/>
        <v>96.15384615384616</v>
      </c>
    </row>
    <row r="66" spans="1:42">
      <c r="A66" t="s">
        <v>74</v>
      </c>
      <c r="B66" t="str">
        <f>_xlfn.XLOOKUP(A66,Table1[Emp_ID],Table1[Full_Name ])</f>
        <v>Wasim</v>
      </c>
      <c r="C66" t="str">
        <f>_xlfn.XLOOKUP(A66,Table1[Emp_ID],Table1[Department])</f>
        <v>Marketing</v>
      </c>
      <c r="D66" s="9" t="s">
        <v>487</v>
      </c>
      <c r="E66" s="9" t="s">
        <v>487</v>
      </c>
      <c r="F66" s="9" t="s">
        <v>487</v>
      </c>
      <c r="G66" s="9" t="s">
        <v>487</v>
      </c>
      <c r="H66" s="9" t="s">
        <v>488</v>
      </c>
      <c r="I66" s="9" t="s">
        <v>487</v>
      </c>
      <c r="J66" s="9" t="s">
        <v>487</v>
      </c>
      <c r="K66" s="9" t="s">
        <v>487</v>
      </c>
      <c r="L66" s="9" t="s">
        <v>487</v>
      </c>
      <c r="M66" s="9" t="s">
        <v>487</v>
      </c>
      <c r="N66" s="9" t="s">
        <v>487</v>
      </c>
      <c r="O66" s="9" t="s">
        <v>488</v>
      </c>
      <c r="P66" s="9" t="s">
        <v>488</v>
      </c>
      <c r="Q66" s="9" t="s">
        <v>490</v>
      </c>
      <c r="R66" s="9" t="s">
        <v>487</v>
      </c>
      <c r="S66" s="9" t="s">
        <v>487</v>
      </c>
      <c r="T66" s="9" t="s">
        <v>487</v>
      </c>
      <c r="U66" s="9" t="s">
        <v>487</v>
      </c>
      <c r="V66" s="9" t="s">
        <v>488</v>
      </c>
      <c r="W66" s="9" t="s">
        <v>487</v>
      </c>
      <c r="X66" s="9" t="s">
        <v>487</v>
      </c>
      <c r="Y66" s="9" t="s">
        <v>487</v>
      </c>
      <c r="Z66" s="9" t="s">
        <v>487</v>
      </c>
      <c r="AA66" s="9" t="s">
        <v>487</v>
      </c>
      <c r="AB66" s="9" t="s">
        <v>487</v>
      </c>
      <c r="AC66" s="9" t="s">
        <v>488</v>
      </c>
      <c r="AD66" s="9" t="s">
        <v>487</v>
      </c>
      <c r="AE66" s="9" t="s">
        <v>487</v>
      </c>
      <c r="AF66" s="9" t="s">
        <v>487</v>
      </c>
      <c r="AG66" s="9" t="s">
        <v>487</v>
      </c>
      <c r="AH66" s="9" t="s">
        <v>487</v>
      </c>
      <c r="AI66">
        <f t="shared" ref="AI66:AI97" si="15">COUNTIF(D66:AH66,"P")</f>
        <v>25</v>
      </c>
      <c r="AJ66">
        <f t="shared" ref="AJ66:AJ97" si="16">COUNTIF(D66:AH66,"A")</f>
        <v>1</v>
      </c>
      <c r="AK66">
        <f t="shared" ref="AK66:AK97" si="17">COUNTIF(D66:AH66,"CL")</f>
        <v>0</v>
      </c>
      <c r="AL66">
        <f t="shared" ref="AL66:AL97" si="18">COUNTIF(D66:AH66,"SL")</f>
        <v>0</v>
      </c>
      <c r="AM66">
        <f t="shared" ref="AM66:AM97" si="19">COUNTIF(D66:AH66,"EL")</f>
        <v>0</v>
      </c>
      <c r="AN66">
        <f t="shared" ref="AN66:AN97" si="20">COUNTIF(D66:AH66,"L")</f>
        <v>0</v>
      </c>
      <c r="AO66">
        <f t="shared" ref="AO66:AO97" si="21">COUNTIF(D66:AH66,"P")+COUNTIF(D66:AH66,"CL")+COUNTIF(D66:AH66,"SL")+COUNTIF(D66:AH66,"EL")</f>
        <v>25</v>
      </c>
      <c r="AP66" s="66">
        <f t="shared" ref="AP66:AP107" si="22">AO66/26*100</f>
        <v>96.15384615384616</v>
      </c>
    </row>
    <row r="67" spans="1:42">
      <c r="A67" t="s">
        <v>75</v>
      </c>
      <c r="B67" t="str">
        <f>_xlfn.XLOOKUP(A67,Table1[Emp_ID],Table1[Full_Name ])</f>
        <v>Farhan</v>
      </c>
      <c r="C67" t="str">
        <f>_xlfn.XLOOKUP(A67,Table1[Emp_ID],Table1[Department])</f>
        <v>Marketing</v>
      </c>
      <c r="D67" s="9" t="s">
        <v>487</v>
      </c>
      <c r="E67" s="9" t="s">
        <v>487</v>
      </c>
      <c r="F67" s="9" t="s">
        <v>487</v>
      </c>
      <c r="G67" s="9" t="s">
        <v>487</v>
      </c>
      <c r="H67" s="9" t="s">
        <v>488</v>
      </c>
      <c r="I67" s="9" t="s">
        <v>487</v>
      </c>
      <c r="J67" s="9" t="s">
        <v>487</v>
      </c>
      <c r="K67" s="9" t="s">
        <v>490</v>
      </c>
      <c r="L67" s="9" t="s">
        <v>487</v>
      </c>
      <c r="M67" s="9" t="s">
        <v>487</v>
      </c>
      <c r="N67" s="9" t="s">
        <v>487</v>
      </c>
      <c r="O67" s="9" t="s">
        <v>488</v>
      </c>
      <c r="P67" s="9" t="s">
        <v>488</v>
      </c>
      <c r="Q67" s="9" t="s">
        <v>487</v>
      </c>
      <c r="R67" s="9" t="s">
        <v>487</v>
      </c>
      <c r="S67" s="9" t="s">
        <v>487</v>
      </c>
      <c r="T67" s="9" t="s">
        <v>487</v>
      </c>
      <c r="U67" s="9" t="s">
        <v>487</v>
      </c>
      <c r="V67" s="9" t="s">
        <v>488</v>
      </c>
      <c r="W67" s="9" t="s">
        <v>487</v>
      </c>
      <c r="X67" s="9" t="s">
        <v>487</v>
      </c>
      <c r="Y67" s="9" t="s">
        <v>487</v>
      </c>
      <c r="Z67" s="9" t="s">
        <v>487</v>
      </c>
      <c r="AA67" s="9" t="s">
        <v>490</v>
      </c>
      <c r="AB67" s="9" t="s">
        <v>487</v>
      </c>
      <c r="AC67" s="9" t="s">
        <v>488</v>
      </c>
      <c r="AD67" s="9" t="s">
        <v>487</v>
      </c>
      <c r="AE67" s="9" t="s">
        <v>487</v>
      </c>
      <c r="AF67" s="9" t="s">
        <v>487</v>
      </c>
      <c r="AG67" s="9" t="s">
        <v>487</v>
      </c>
      <c r="AH67" s="9"/>
      <c r="AI67">
        <f t="shared" si="15"/>
        <v>23</v>
      </c>
      <c r="AJ67">
        <f t="shared" si="16"/>
        <v>2</v>
      </c>
      <c r="AK67">
        <f t="shared" si="17"/>
        <v>0</v>
      </c>
      <c r="AL67">
        <f t="shared" si="18"/>
        <v>0</v>
      </c>
      <c r="AM67">
        <f t="shared" si="19"/>
        <v>0</v>
      </c>
      <c r="AN67">
        <f t="shared" si="20"/>
        <v>0</v>
      </c>
      <c r="AO67">
        <f t="shared" si="21"/>
        <v>23</v>
      </c>
      <c r="AP67" s="66">
        <f t="shared" si="22"/>
        <v>88.461538461538453</v>
      </c>
    </row>
    <row r="68" spans="1:42">
      <c r="A68" t="s">
        <v>76</v>
      </c>
      <c r="B68" t="str">
        <f>_xlfn.XLOOKUP(A68,Table1[Emp_ID],Table1[Full_Name ])</f>
        <v>Bilal</v>
      </c>
      <c r="C68" t="str">
        <f>_xlfn.XLOOKUP(A68,Table1[Emp_ID],Table1[Department])</f>
        <v>Marketing</v>
      </c>
      <c r="D68" s="9" t="s">
        <v>487</v>
      </c>
      <c r="E68" s="9" t="s">
        <v>487</v>
      </c>
      <c r="F68" s="9" t="s">
        <v>487</v>
      </c>
      <c r="G68" s="9" t="s">
        <v>487</v>
      </c>
      <c r="H68" s="9" t="s">
        <v>488</v>
      </c>
      <c r="I68" s="9" t="s">
        <v>487</v>
      </c>
      <c r="J68" s="9" t="s">
        <v>487</v>
      </c>
      <c r="K68" s="9" t="s">
        <v>487</v>
      </c>
      <c r="L68" s="9" t="s">
        <v>487</v>
      </c>
      <c r="M68" s="9" t="s">
        <v>487</v>
      </c>
      <c r="N68" s="9" t="s">
        <v>487</v>
      </c>
      <c r="O68" s="9" t="s">
        <v>488</v>
      </c>
      <c r="P68" s="9" t="s">
        <v>488</v>
      </c>
      <c r="Q68" s="9" t="s">
        <v>487</v>
      </c>
      <c r="R68" s="9" t="s">
        <v>487</v>
      </c>
      <c r="S68" s="9" t="s">
        <v>487</v>
      </c>
      <c r="T68" s="9" t="s">
        <v>487</v>
      </c>
      <c r="U68" s="9" t="s">
        <v>487</v>
      </c>
      <c r="V68" s="9" t="s">
        <v>488</v>
      </c>
      <c r="W68" s="9" t="s">
        <v>487</v>
      </c>
      <c r="X68" s="9" t="s">
        <v>487</v>
      </c>
      <c r="Y68" s="9" t="s">
        <v>487</v>
      </c>
      <c r="Z68" s="9" t="s">
        <v>487</v>
      </c>
      <c r="AA68" s="9" t="s">
        <v>487</v>
      </c>
      <c r="AB68" s="9" t="s">
        <v>487</v>
      </c>
      <c r="AC68" s="9" t="s">
        <v>488</v>
      </c>
      <c r="AD68" s="9" t="s">
        <v>487</v>
      </c>
      <c r="AE68" s="9" t="s">
        <v>487</v>
      </c>
      <c r="AF68" s="9" t="s">
        <v>487</v>
      </c>
      <c r="AG68" s="9" t="s">
        <v>487</v>
      </c>
      <c r="AH68" s="9" t="s">
        <v>487</v>
      </c>
      <c r="AI68">
        <f t="shared" si="15"/>
        <v>26</v>
      </c>
      <c r="AJ68">
        <f t="shared" si="16"/>
        <v>0</v>
      </c>
      <c r="AK68">
        <f t="shared" si="17"/>
        <v>0</v>
      </c>
      <c r="AL68">
        <f t="shared" si="18"/>
        <v>0</v>
      </c>
      <c r="AM68">
        <f t="shared" si="19"/>
        <v>0</v>
      </c>
      <c r="AN68">
        <f t="shared" si="20"/>
        <v>0</v>
      </c>
      <c r="AO68">
        <f t="shared" si="21"/>
        <v>26</v>
      </c>
      <c r="AP68" s="66">
        <f t="shared" si="22"/>
        <v>100</v>
      </c>
    </row>
    <row r="69" spans="1:42">
      <c r="A69" t="s">
        <v>77</v>
      </c>
      <c r="B69" t="str">
        <f>_xlfn.XLOOKUP(A69,Table1[Emp_ID],Table1[Full_Name ])</f>
        <v>Aamir</v>
      </c>
      <c r="C69" t="str">
        <f>_xlfn.XLOOKUP(A69,Table1[Emp_ID],Table1[Department])</f>
        <v>Marketing</v>
      </c>
      <c r="D69" s="9" t="s">
        <v>487</v>
      </c>
      <c r="E69" s="9" t="s">
        <v>493</v>
      </c>
      <c r="F69" s="9" t="s">
        <v>493</v>
      </c>
      <c r="G69" s="9" t="s">
        <v>493</v>
      </c>
      <c r="H69" s="9" t="s">
        <v>488</v>
      </c>
      <c r="I69" s="9" t="s">
        <v>487</v>
      </c>
      <c r="J69" s="9" t="s">
        <v>487</v>
      </c>
      <c r="K69" s="9" t="s">
        <v>487</v>
      </c>
      <c r="L69" s="9" t="s">
        <v>487</v>
      </c>
      <c r="M69" s="9" t="s">
        <v>487</v>
      </c>
      <c r="N69" s="9" t="s">
        <v>487</v>
      </c>
      <c r="O69" s="9" t="s">
        <v>488</v>
      </c>
      <c r="P69" s="9" t="s">
        <v>488</v>
      </c>
      <c r="Q69" s="9" t="s">
        <v>487</v>
      </c>
      <c r="R69" s="9" t="s">
        <v>487</v>
      </c>
      <c r="S69" s="9" t="s">
        <v>487</v>
      </c>
      <c r="T69" s="9" t="s">
        <v>487</v>
      </c>
      <c r="U69" s="9" t="s">
        <v>490</v>
      </c>
      <c r="V69" s="9" t="s">
        <v>488</v>
      </c>
      <c r="W69" s="9" t="s">
        <v>487</v>
      </c>
      <c r="X69" s="9" t="s">
        <v>487</v>
      </c>
      <c r="Y69" s="9" t="s">
        <v>492</v>
      </c>
      <c r="Z69" s="9" t="s">
        <v>487</v>
      </c>
      <c r="AA69" s="9" t="s">
        <v>487</v>
      </c>
      <c r="AB69" s="9" t="s">
        <v>487</v>
      </c>
      <c r="AC69" s="9" t="s">
        <v>488</v>
      </c>
      <c r="AD69" s="9" t="s">
        <v>487</v>
      </c>
      <c r="AE69" s="9" t="s">
        <v>487</v>
      </c>
      <c r="AF69" s="9" t="s">
        <v>487</v>
      </c>
      <c r="AG69" s="9" t="s">
        <v>487</v>
      </c>
      <c r="AH69" s="9" t="s">
        <v>487</v>
      </c>
      <c r="AI69">
        <f t="shared" si="15"/>
        <v>21</v>
      </c>
      <c r="AJ69">
        <f t="shared" si="16"/>
        <v>1</v>
      </c>
      <c r="AK69">
        <f t="shared" si="17"/>
        <v>0</v>
      </c>
      <c r="AL69">
        <f t="shared" si="18"/>
        <v>0</v>
      </c>
      <c r="AM69">
        <f t="shared" si="19"/>
        <v>3</v>
      </c>
      <c r="AN69">
        <f t="shared" si="20"/>
        <v>1</v>
      </c>
      <c r="AO69">
        <f t="shared" si="21"/>
        <v>24</v>
      </c>
      <c r="AP69" s="66">
        <f t="shared" si="22"/>
        <v>92.307692307692307</v>
      </c>
    </row>
    <row r="70" spans="1:42">
      <c r="A70" t="s">
        <v>78</v>
      </c>
      <c r="B70" t="str">
        <f>_xlfn.XLOOKUP(A70,Table1[Emp_ID],Table1[Full_Name ])</f>
        <v>Shahid</v>
      </c>
      <c r="C70" t="str">
        <f>_xlfn.XLOOKUP(A70,Table1[Emp_ID],Table1[Department])</f>
        <v>Marketing</v>
      </c>
      <c r="D70" s="9" t="s">
        <v>487</v>
      </c>
      <c r="E70" s="9" t="s">
        <v>487</v>
      </c>
      <c r="F70" s="9" t="s">
        <v>487</v>
      </c>
      <c r="G70" s="9" t="s">
        <v>487</v>
      </c>
      <c r="H70" s="9" t="s">
        <v>488</v>
      </c>
      <c r="I70" s="9" t="s">
        <v>487</v>
      </c>
      <c r="J70" s="9" t="s">
        <v>490</v>
      </c>
      <c r="K70" s="9" t="s">
        <v>487</v>
      </c>
      <c r="L70" s="9" t="s">
        <v>487</v>
      </c>
      <c r="M70" s="9" t="s">
        <v>487</v>
      </c>
      <c r="N70" s="9" t="s">
        <v>487</v>
      </c>
      <c r="O70" s="9" t="s">
        <v>488</v>
      </c>
      <c r="P70" s="9" t="s">
        <v>488</v>
      </c>
      <c r="Q70" s="9" t="s">
        <v>491</v>
      </c>
      <c r="R70" s="9" t="s">
        <v>487</v>
      </c>
      <c r="S70" s="9" t="s">
        <v>487</v>
      </c>
      <c r="T70" s="9" t="s">
        <v>487</v>
      </c>
      <c r="U70" s="9" t="s">
        <v>487</v>
      </c>
      <c r="V70" s="9" t="s">
        <v>488</v>
      </c>
      <c r="W70" s="9" t="s">
        <v>487</v>
      </c>
      <c r="X70" s="9" t="s">
        <v>487</v>
      </c>
      <c r="Y70" s="9" t="s">
        <v>487</v>
      </c>
      <c r="Z70" s="9" t="s">
        <v>487</v>
      </c>
      <c r="AA70" s="9" t="s">
        <v>487</v>
      </c>
      <c r="AB70" s="9" t="s">
        <v>487</v>
      </c>
      <c r="AC70" s="9" t="s">
        <v>488</v>
      </c>
      <c r="AD70" s="9" t="s">
        <v>487</v>
      </c>
      <c r="AE70" s="9" t="s">
        <v>487</v>
      </c>
      <c r="AF70" s="9" t="s">
        <v>487</v>
      </c>
      <c r="AG70" s="9" t="s">
        <v>487</v>
      </c>
      <c r="AH70" s="9" t="s">
        <v>487</v>
      </c>
      <c r="AI70">
        <f t="shared" si="15"/>
        <v>24</v>
      </c>
      <c r="AJ70">
        <f t="shared" si="16"/>
        <v>1</v>
      </c>
      <c r="AK70">
        <f t="shared" si="17"/>
        <v>0</v>
      </c>
      <c r="AL70">
        <f t="shared" si="18"/>
        <v>1</v>
      </c>
      <c r="AM70">
        <f t="shared" si="19"/>
        <v>0</v>
      </c>
      <c r="AN70">
        <f t="shared" si="20"/>
        <v>0</v>
      </c>
      <c r="AO70">
        <f t="shared" si="21"/>
        <v>25</v>
      </c>
      <c r="AP70" s="66">
        <f t="shared" si="22"/>
        <v>96.15384615384616</v>
      </c>
    </row>
    <row r="71" spans="1:42">
      <c r="A71" t="s">
        <v>79</v>
      </c>
      <c r="B71" t="str">
        <f>_xlfn.XLOOKUP(A71,Table1[Emp_ID],Table1[Full_Name ])</f>
        <v>Nadeem</v>
      </c>
      <c r="C71" t="str">
        <f>_xlfn.XLOOKUP(A71,Table1[Emp_ID],Table1[Department])</f>
        <v>Marketing</v>
      </c>
      <c r="D71" s="9" t="s">
        <v>487</v>
      </c>
      <c r="E71" s="9" t="s">
        <v>487</v>
      </c>
      <c r="F71" s="9" t="s">
        <v>487</v>
      </c>
      <c r="G71" s="9" t="s">
        <v>487</v>
      </c>
      <c r="H71" s="9" t="s">
        <v>488</v>
      </c>
      <c r="I71" s="9" t="s">
        <v>487</v>
      </c>
      <c r="J71" s="9" t="s">
        <v>487</v>
      </c>
      <c r="K71" s="9" t="s">
        <v>487</v>
      </c>
      <c r="L71" s="9" t="s">
        <v>487</v>
      </c>
      <c r="M71" s="9" t="s">
        <v>487</v>
      </c>
      <c r="N71" s="9" t="s">
        <v>490</v>
      </c>
      <c r="O71" s="9" t="s">
        <v>488</v>
      </c>
      <c r="P71" s="9" t="s">
        <v>488</v>
      </c>
      <c r="Q71" s="9" t="s">
        <v>487</v>
      </c>
      <c r="R71" s="9" t="s">
        <v>487</v>
      </c>
      <c r="S71" s="9" t="s">
        <v>487</v>
      </c>
      <c r="T71" s="9" t="s">
        <v>487</v>
      </c>
      <c r="U71" s="9" t="s">
        <v>487</v>
      </c>
      <c r="V71" s="9" t="s">
        <v>488</v>
      </c>
      <c r="W71" s="9" t="s">
        <v>487</v>
      </c>
      <c r="X71" s="9" t="s">
        <v>487</v>
      </c>
      <c r="Y71" s="9" t="s">
        <v>487</v>
      </c>
      <c r="Z71" s="9" t="s">
        <v>490</v>
      </c>
      <c r="AA71" s="9" t="s">
        <v>487</v>
      </c>
      <c r="AB71" s="9" t="s">
        <v>487</v>
      </c>
      <c r="AC71" s="9" t="s">
        <v>488</v>
      </c>
      <c r="AD71" s="9" t="s">
        <v>487</v>
      </c>
      <c r="AE71" s="9" t="s">
        <v>487</v>
      </c>
      <c r="AF71" s="9" t="s">
        <v>487</v>
      </c>
      <c r="AG71" s="9" t="s">
        <v>487</v>
      </c>
      <c r="AH71" s="9" t="s">
        <v>487</v>
      </c>
      <c r="AI71">
        <f t="shared" si="15"/>
        <v>24</v>
      </c>
      <c r="AJ71">
        <f t="shared" si="16"/>
        <v>2</v>
      </c>
      <c r="AK71">
        <f t="shared" si="17"/>
        <v>0</v>
      </c>
      <c r="AL71">
        <f t="shared" si="18"/>
        <v>0</v>
      </c>
      <c r="AM71">
        <f t="shared" si="19"/>
        <v>0</v>
      </c>
      <c r="AN71">
        <f t="shared" si="20"/>
        <v>0</v>
      </c>
      <c r="AO71">
        <f t="shared" si="21"/>
        <v>24</v>
      </c>
      <c r="AP71" s="66">
        <f t="shared" si="22"/>
        <v>92.307692307692307</v>
      </c>
    </row>
    <row r="72" spans="1:42">
      <c r="A72" t="s">
        <v>80</v>
      </c>
      <c r="B72" t="str">
        <f>_xlfn.XLOOKUP(A72,Table1[Emp_ID],Table1[Full_Name ])</f>
        <v>Parth</v>
      </c>
      <c r="C72" t="str">
        <f>_xlfn.XLOOKUP(A72,Table1[Emp_ID],Table1[Department])</f>
        <v>Support</v>
      </c>
      <c r="D72" s="9" t="s">
        <v>487</v>
      </c>
      <c r="E72" s="9" t="s">
        <v>487</v>
      </c>
      <c r="F72" s="9" t="s">
        <v>487</v>
      </c>
      <c r="G72" s="9" t="s">
        <v>487</v>
      </c>
      <c r="H72" s="9" t="s">
        <v>488</v>
      </c>
      <c r="I72" s="9" t="s">
        <v>487</v>
      </c>
      <c r="J72" s="9" t="s">
        <v>487</v>
      </c>
      <c r="K72" s="9" t="s">
        <v>487</v>
      </c>
      <c r="L72" s="9" t="s">
        <v>487</v>
      </c>
      <c r="M72" s="9" t="s">
        <v>487</v>
      </c>
      <c r="N72" s="9" t="s">
        <v>487</v>
      </c>
      <c r="O72" s="9" t="s">
        <v>488</v>
      </c>
      <c r="P72" s="9" t="s">
        <v>488</v>
      </c>
      <c r="Q72" s="9" t="s">
        <v>487</v>
      </c>
      <c r="R72" s="9" t="s">
        <v>487</v>
      </c>
      <c r="S72" s="9" t="s">
        <v>487</v>
      </c>
      <c r="T72" s="9" t="s">
        <v>487</v>
      </c>
      <c r="U72" s="9" t="s">
        <v>487</v>
      </c>
      <c r="V72" s="9" t="s">
        <v>488</v>
      </c>
      <c r="W72" s="9" t="s">
        <v>487</v>
      </c>
      <c r="X72" s="9" t="s">
        <v>487</v>
      </c>
      <c r="Y72" s="9" t="s">
        <v>487</v>
      </c>
      <c r="Z72" s="9" t="s">
        <v>487</v>
      </c>
      <c r="AA72" s="9" t="s">
        <v>487</v>
      </c>
      <c r="AB72" s="9" t="s">
        <v>487</v>
      </c>
      <c r="AC72" s="9" t="s">
        <v>488</v>
      </c>
      <c r="AD72" s="9" t="s">
        <v>487</v>
      </c>
      <c r="AE72" s="9" t="s">
        <v>487</v>
      </c>
      <c r="AF72" s="9" t="s">
        <v>487</v>
      </c>
      <c r="AG72" s="9" t="s">
        <v>487</v>
      </c>
      <c r="AH72" s="9" t="s">
        <v>487</v>
      </c>
      <c r="AI72">
        <f t="shared" si="15"/>
        <v>26</v>
      </c>
      <c r="AJ72">
        <f t="shared" si="16"/>
        <v>0</v>
      </c>
      <c r="AK72">
        <f t="shared" si="17"/>
        <v>0</v>
      </c>
      <c r="AL72">
        <f t="shared" si="18"/>
        <v>0</v>
      </c>
      <c r="AM72">
        <f t="shared" si="19"/>
        <v>0</v>
      </c>
      <c r="AN72">
        <f t="shared" si="20"/>
        <v>0</v>
      </c>
      <c r="AO72">
        <f t="shared" si="21"/>
        <v>26</v>
      </c>
      <c r="AP72" s="66">
        <f t="shared" si="22"/>
        <v>100</v>
      </c>
    </row>
    <row r="73" spans="1:42">
      <c r="A73" t="s">
        <v>81</v>
      </c>
      <c r="B73" t="str">
        <f>_xlfn.XLOOKUP(A73,Table1[Emp_ID],Table1[Full_Name ])</f>
        <v>Meet</v>
      </c>
      <c r="C73" t="str">
        <f>_xlfn.XLOOKUP(A73,Table1[Emp_ID],Table1[Department])</f>
        <v>Support</v>
      </c>
      <c r="D73" s="9" t="s">
        <v>487</v>
      </c>
      <c r="E73" s="9" t="s">
        <v>487</v>
      </c>
      <c r="F73" s="9" t="s">
        <v>487</v>
      </c>
      <c r="G73" s="9" t="s">
        <v>491</v>
      </c>
      <c r="H73" s="9" t="s">
        <v>488</v>
      </c>
      <c r="I73" s="9" t="s">
        <v>487</v>
      </c>
      <c r="J73" s="9" t="s">
        <v>487</v>
      </c>
      <c r="K73" s="9" t="s">
        <v>487</v>
      </c>
      <c r="L73" s="9" t="s">
        <v>492</v>
      </c>
      <c r="M73" s="9" t="s">
        <v>487</v>
      </c>
      <c r="N73" s="9" t="s">
        <v>487</v>
      </c>
      <c r="O73" s="9" t="s">
        <v>488</v>
      </c>
      <c r="P73" s="9" t="s">
        <v>488</v>
      </c>
      <c r="Q73" s="9" t="s">
        <v>487</v>
      </c>
      <c r="R73" s="9" t="s">
        <v>487</v>
      </c>
      <c r="S73" s="9" t="s">
        <v>487</v>
      </c>
      <c r="T73" s="9" t="s">
        <v>487</v>
      </c>
      <c r="U73" s="9" t="s">
        <v>487</v>
      </c>
      <c r="V73" s="9" t="s">
        <v>488</v>
      </c>
      <c r="W73" s="9" t="s">
        <v>487</v>
      </c>
      <c r="X73" s="9" t="s">
        <v>487</v>
      </c>
      <c r="Y73" s="9" t="s">
        <v>487</v>
      </c>
      <c r="Z73" s="9" t="s">
        <v>487</v>
      </c>
      <c r="AA73" s="9" t="s">
        <v>487</v>
      </c>
      <c r="AB73" s="9" t="s">
        <v>487</v>
      </c>
      <c r="AC73" s="9" t="s">
        <v>488</v>
      </c>
      <c r="AD73" s="9" t="s">
        <v>492</v>
      </c>
      <c r="AE73" s="9" t="s">
        <v>487</v>
      </c>
      <c r="AF73" s="9" t="s">
        <v>487</v>
      </c>
      <c r="AG73" s="9" t="s">
        <v>487</v>
      </c>
      <c r="AH73" s="9" t="s">
        <v>487</v>
      </c>
      <c r="AI73">
        <f t="shared" si="15"/>
        <v>23</v>
      </c>
      <c r="AJ73">
        <f t="shared" si="16"/>
        <v>0</v>
      </c>
      <c r="AK73">
        <f t="shared" si="17"/>
        <v>0</v>
      </c>
      <c r="AL73">
        <f t="shared" si="18"/>
        <v>1</v>
      </c>
      <c r="AM73">
        <f t="shared" si="19"/>
        <v>0</v>
      </c>
      <c r="AN73">
        <f t="shared" si="20"/>
        <v>2</v>
      </c>
      <c r="AO73">
        <f t="shared" si="21"/>
        <v>24</v>
      </c>
      <c r="AP73" s="66">
        <f t="shared" si="22"/>
        <v>92.307692307692307</v>
      </c>
    </row>
    <row r="74" spans="1:42">
      <c r="A74" t="s">
        <v>82</v>
      </c>
      <c r="B74" t="str">
        <f>_xlfn.XLOOKUP(A74,Table1[Emp_ID],Table1[Full_Name ])</f>
        <v>Darshan</v>
      </c>
      <c r="C74" t="str">
        <f>_xlfn.XLOOKUP(A74,Table1[Emp_ID],Table1[Department])</f>
        <v>Support</v>
      </c>
      <c r="D74" s="9" t="s">
        <v>487</v>
      </c>
      <c r="E74" s="9" t="s">
        <v>487</v>
      </c>
      <c r="F74" s="9" t="s">
        <v>487</v>
      </c>
      <c r="G74" s="9" t="s">
        <v>487</v>
      </c>
      <c r="H74" s="9" t="s">
        <v>488</v>
      </c>
      <c r="I74" s="9" t="s">
        <v>487</v>
      </c>
      <c r="J74" s="9" t="s">
        <v>487</v>
      </c>
      <c r="K74" s="9" t="s">
        <v>487</v>
      </c>
      <c r="L74" s="9" t="s">
        <v>487</v>
      </c>
      <c r="M74" s="9" t="s">
        <v>487</v>
      </c>
      <c r="N74" s="9" t="s">
        <v>487</v>
      </c>
      <c r="O74" s="9" t="s">
        <v>488</v>
      </c>
      <c r="P74" s="9" t="s">
        <v>488</v>
      </c>
      <c r="Q74" s="9" t="s">
        <v>487</v>
      </c>
      <c r="R74" s="9" t="s">
        <v>487</v>
      </c>
      <c r="S74" s="9" t="s">
        <v>487</v>
      </c>
      <c r="T74" s="9" t="s">
        <v>487</v>
      </c>
      <c r="U74" s="9" t="s">
        <v>487</v>
      </c>
      <c r="V74" s="9" t="s">
        <v>488</v>
      </c>
      <c r="W74" s="9" t="s">
        <v>487</v>
      </c>
      <c r="X74" s="9" t="s">
        <v>490</v>
      </c>
      <c r="Y74" s="9" t="s">
        <v>487</v>
      </c>
      <c r="Z74" s="9" t="s">
        <v>487</v>
      </c>
      <c r="AA74" s="9" t="s">
        <v>487</v>
      </c>
      <c r="AB74" s="9" t="s">
        <v>487</v>
      </c>
      <c r="AC74" s="9" t="s">
        <v>488</v>
      </c>
      <c r="AD74" s="9" t="s">
        <v>487</v>
      </c>
      <c r="AE74" s="9" t="s">
        <v>487</v>
      </c>
      <c r="AF74" s="9" t="s">
        <v>487</v>
      </c>
      <c r="AG74" s="9" t="s">
        <v>487</v>
      </c>
      <c r="AH74" s="9" t="s">
        <v>487</v>
      </c>
      <c r="AI74">
        <f t="shared" si="15"/>
        <v>25</v>
      </c>
      <c r="AJ74">
        <f t="shared" si="16"/>
        <v>1</v>
      </c>
      <c r="AK74">
        <f t="shared" si="17"/>
        <v>0</v>
      </c>
      <c r="AL74">
        <f t="shared" si="18"/>
        <v>0</v>
      </c>
      <c r="AM74">
        <f t="shared" si="19"/>
        <v>0</v>
      </c>
      <c r="AN74">
        <f t="shared" si="20"/>
        <v>0</v>
      </c>
      <c r="AO74">
        <f t="shared" si="21"/>
        <v>25</v>
      </c>
      <c r="AP74" s="66">
        <f t="shared" si="22"/>
        <v>96.15384615384616</v>
      </c>
    </row>
    <row r="75" spans="1:42">
      <c r="A75" t="s">
        <v>83</v>
      </c>
      <c r="B75" t="str">
        <f>_xlfn.XLOOKUP(A75,Table1[Emp_ID],Table1[Full_Name ])</f>
        <v>Jignesh</v>
      </c>
      <c r="C75" t="str">
        <f>_xlfn.XLOOKUP(A75,Table1[Emp_ID],Table1[Department])</f>
        <v>Support</v>
      </c>
      <c r="D75" s="9" t="s">
        <v>487</v>
      </c>
      <c r="E75" s="9" t="s">
        <v>487</v>
      </c>
      <c r="F75" s="9" t="s">
        <v>487</v>
      </c>
      <c r="G75" s="9" t="s">
        <v>487</v>
      </c>
      <c r="H75" s="9" t="s">
        <v>488</v>
      </c>
      <c r="I75" s="9" t="s">
        <v>487</v>
      </c>
      <c r="J75" s="9" t="s">
        <v>487</v>
      </c>
      <c r="K75" s="9" t="s">
        <v>487</v>
      </c>
      <c r="L75" s="9" t="s">
        <v>487</v>
      </c>
      <c r="M75" s="9" t="s">
        <v>490</v>
      </c>
      <c r="N75" s="9" t="s">
        <v>487</v>
      </c>
      <c r="O75" s="9" t="s">
        <v>488</v>
      </c>
      <c r="P75" s="9" t="s">
        <v>488</v>
      </c>
      <c r="Q75" s="9" t="s">
        <v>493</v>
      </c>
      <c r="R75" s="9" t="s">
        <v>493</v>
      </c>
      <c r="S75" s="9" t="s">
        <v>493</v>
      </c>
      <c r="T75" s="9" t="s">
        <v>493</v>
      </c>
      <c r="U75" s="9" t="s">
        <v>487</v>
      </c>
      <c r="V75" s="9" t="s">
        <v>488</v>
      </c>
      <c r="W75" s="9" t="s">
        <v>487</v>
      </c>
      <c r="X75" s="9" t="s">
        <v>487</v>
      </c>
      <c r="Y75" s="9" t="s">
        <v>487</v>
      </c>
      <c r="Z75" s="9" t="s">
        <v>487</v>
      </c>
      <c r="AA75" s="9" t="s">
        <v>487</v>
      </c>
      <c r="AB75" s="9" t="s">
        <v>487</v>
      </c>
      <c r="AC75" s="9" t="s">
        <v>488</v>
      </c>
      <c r="AD75" s="9" t="s">
        <v>487</v>
      </c>
      <c r="AE75" s="9" t="s">
        <v>487</v>
      </c>
      <c r="AF75" s="9" t="s">
        <v>489</v>
      </c>
      <c r="AG75" s="9" t="s">
        <v>489</v>
      </c>
      <c r="AH75" s="9" t="s">
        <v>487</v>
      </c>
      <c r="AI75">
        <f t="shared" si="15"/>
        <v>19</v>
      </c>
      <c r="AJ75">
        <f t="shared" si="16"/>
        <v>1</v>
      </c>
      <c r="AK75">
        <f t="shared" si="17"/>
        <v>2</v>
      </c>
      <c r="AL75">
        <f t="shared" si="18"/>
        <v>0</v>
      </c>
      <c r="AM75">
        <f t="shared" si="19"/>
        <v>4</v>
      </c>
      <c r="AN75">
        <f t="shared" si="20"/>
        <v>0</v>
      </c>
      <c r="AO75">
        <f t="shared" si="21"/>
        <v>25</v>
      </c>
      <c r="AP75" s="66">
        <f t="shared" si="22"/>
        <v>96.15384615384616</v>
      </c>
    </row>
    <row r="76" spans="1:42">
      <c r="A76" t="s">
        <v>84</v>
      </c>
      <c r="B76" t="str">
        <f>_xlfn.XLOOKUP(A76,Table1[Emp_ID],Table1[Full_Name ])</f>
        <v>Hardik</v>
      </c>
      <c r="C76" t="str">
        <f>_xlfn.XLOOKUP(A76,Table1[Emp_ID],Table1[Department])</f>
        <v>Support</v>
      </c>
      <c r="D76" s="9" t="s">
        <v>487</v>
      </c>
      <c r="E76" s="9" t="s">
        <v>487</v>
      </c>
      <c r="F76" s="9" t="s">
        <v>487</v>
      </c>
      <c r="G76" s="9" t="s">
        <v>487</v>
      </c>
      <c r="H76" s="9" t="s">
        <v>488</v>
      </c>
      <c r="I76" s="9" t="s">
        <v>487</v>
      </c>
      <c r="J76" s="9" t="s">
        <v>487</v>
      </c>
      <c r="K76" s="9" t="s">
        <v>487</v>
      </c>
      <c r="L76" s="9" t="s">
        <v>487</v>
      </c>
      <c r="M76" s="9" t="s">
        <v>487</v>
      </c>
      <c r="N76" s="9" t="s">
        <v>487</v>
      </c>
      <c r="O76" s="9" t="s">
        <v>488</v>
      </c>
      <c r="P76" s="9" t="s">
        <v>488</v>
      </c>
      <c r="Q76" s="9" t="s">
        <v>487</v>
      </c>
      <c r="R76" s="9" t="s">
        <v>487</v>
      </c>
      <c r="S76" s="9" t="s">
        <v>487</v>
      </c>
      <c r="T76" s="9" t="s">
        <v>487</v>
      </c>
      <c r="U76" s="9" t="s">
        <v>487</v>
      </c>
      <c r="V76" s="9" t="s">
        <v>488</v>
      </c>
      <c r="W76" s="9" t="s">
        <v>487</v>
      </c>
      <c r="X76" s="9" t="s">
        <v>487</v>
      </c>
      <c r="Y76" s="9" t="s">
        <v>487</v>
      </c>
      <c r="Z76" s="9" t="s">
        <v>487</v>
      </c>
      <c r="AA76" s="9" t="s">
        <v>487</v>
      </c>
      <c r="AB76" s="9" t="s">
        <v>487</v>
      </c>
      <c r="AC76" s="9" t="s">
        <v>488</v>
      </c>
      <c r="AD76" s="9" t="s">
        <v>487</v>
      </c>
      <c r="AE76" s="9" t="s">
        <v>487</v>
      </c>
      <c r="AF76" s="9" t="s">
        <v>487</v>
      </c>
      <c r="AG76" s="9" t="s">
        <v>487</v>
      </c>
      <c r="AH76" s="9" t="s">
        <v>487</v>
      </c>
      <c r="AI76">
        <f t="shared" si="15"/>
        <v>26</v>
      </c>
      <c r="AJ76">
        <f t="shared" si="16"/>
        <v>0</v>
      </c>
      <c r="AK76">
        <f t="shared" si="17"/>
        <v>0</v>
      </c>
      <c r="AL76">
        <f t="shared" si="18"/>
        <v>0</v>
      </c>
      <c r="AM76">
        <f t="shared" si="19"/>
        <v>0</v>
      </c>
      <c r="AN76">
        <f t="shared" si="20"/>
        <v>0</v>
      </c>
      <c r="AO76">
        <f t="shared" si="21"/>
        <v>26</v>
      </c>
      <c r="AP76" s="66">
        <f t="shared" si="22"/>
        <v>100</v>
      </c>
    </row>
    <row r="77" spans="1:42">
      <c r="A77" t="s">
        <v>85</v>
      </c>
      <c r="B77" t="str">
        <f>_xlfn.XLOOKUP(A77,Table1[Emp_ID],Table1[Full_Name ])</f>
        <v>Hitesh</v>
      </c>
      <c r="C77" t="str">
        <f>_xlfn.XLOOKUP(A77,Table1[Emp_ID],Table1[Department])</f>
        <v>Support</v>
      </c>
      <c r="D77" s="9" t="s">
        <v>487</v>
      </c>
      <c r="E77" s="9" t="s">
        <v>487</v>
      </c>
      <c r="F77" s="9" t="s">
        <v>487</v>
      </c>
      <c r="G77" s="9" t="s">
        <v>487</v>
      </c>
      <c r="H77" s="9" t="s">
        <v>488</v>
      </c>
      <c r="I77" s="9" t="s">
        <v>487</v>
      </c>
      <c r="J77" s="9" t="s">
        <v>487</v>
      </c>
      <c r="K77" s="9" t="s">
        <v>487</v>
      </c>
      <c r="L77" s="9" t="s">
        <v>487</v>
      </c>
      <c r="M77" s="9" t="s">
        <v>487</v>
      </c>
      <c r="N77" s="9" t="s">
        <v>487</v>
      </c>
      <c r="O77" s="9" t="s">
        <v>488</v>
      </c>
      <c r="P77" s="9" t="s">
        <v>488</v>
      </c>
      <c r="Q77" s="9" t="s">
        <v>487</v>
      </c>
      <c r="R77" s="9" t="s">
        <v>487</v>
      </c>
      <c r="S77" s="9" t="s">
        <v>487</v>
      </c>
      <c r="T77" s="9" t="s">
        <v>487</v>
      </c>
      <c r="U77" s="9" t="s">
        <v>487</v>
      </c>
      <c r="V77" s="9" t="s">
        <v>488</v>
      </c>
      <c r="W77" s="9" t="s">
        <v>487</v>
      </c>
      <c r="X77" s="9" t="s">
        <v>487</v>
      </c>
      <c r="Y77" s="9" t="s">
        <v>487</v>
      </c>
      <c r="Z77" s="9" t="s">
        <v>487</v>
      </c>
      <c r="AA77" s="9" t="s">
        <v>487</v>
      </c>
      <c r="AB77" s="9" t="s">
        <v>487</v>
      </c>
      <c r="AC77" s="9" t="s">
        <v>488</v>
      </c>
      <c r="AD77" s="9" t="s">
        <v>487</v>
      </c>
      <c r="AE77" s="9" t="s">
        <v>490</v>
      </c>
      <c r="AF77" s="9" t="s">
        <v>487</v>
      </c>
      <c r="AG77" s="9" t="s">
        <v>487</v>
      </c>
      <c r="AH77" s="9" t="s">
        <v>487</v>
      </c>
      <c r="AI77">
        <f t="shared" si="15"/>
        <v>25</v>
      </c>
      <c r="AJ77">
        <f t="shared" si="16"/>
        <v>1</v>
      </c>
      <c r="AK77">
        <f t="shared" si="17"/>
        <v>0</v>
      </c>
      <c r="AL77">
        <f t="shared" si="18"/>
        <v>0</v>
      </c>
      <c r="AM77">
        <f t="shared" si="19"/>
        <v>0</v>
      </c>
      <c r="AN77">
        <f t="shared" si="20"/>
        <v>0</v>
      </c>
      <c r="AO77">
        <f t="shared" si="21"/>
        <v>25</v>
      </c>
      <c r="AP77" s="66">
        <f t="shared" si="22"/>
        <v>96.15384615384616</v>
      </c>
    </row>
    <row r="78" spans="1:42">
      <c r="A78" t="s">
        <v>86</v>
      </c>
      <c r="B78" t="str">
        <f>_xlfn.XLOOKUP(A78,Table1[Emp_ID],Table1[Full_Name ])</f>
        <v>Paresh</v>
      </c>
      <c r="C78" t="str">
        <f>_xlfn.XLOOKUP(A78,Table1[Emp_ID],Table1[Department])</f>
        <v>Support</v>
      </c>
      <c r="D78" s="9" t="s">
        <v>490</v>
      </c>
      <c r="E78" s="9" t="s">
        <v>487</v>
      </c>
      <c r="F78" s="9" t="s">
        <v>487</v>
      </c>
      <c r="G78" s="9" t="s">
        <v>487</v>
      </c>
      <c r="H78" s="9" t="s">
        <v>488</v>
      </c>
      <c r="I78" s="9" t="s">
        <v>487</v>
      </c>
      <c r="J78" s="9" t="s">
        <v>487</v>
      </c>
      <c r="K78" s="9" t="s">
        <v>490</v>
      </c>
      <c r="L78" s="9" t="s">
        <v>487</v>
      </c>
      <c r="M78" s="9" t="s">
        <v>487</v>
      </c>
      <c r="N78" s="9" t="s">
        <v>487</v>
      </c>
      <c r="O78" s="9" t="s">
        <v>488</v>
      </c>
      <c r="P78" s="9" t="s">
        <v>488</v>
      </c>
      <c r="Q78" s="9" t="s">
        <v>487</v>
      </c>
      <c r="R78" s="9" t="s">
        <v>487</v>
      </c>
      <c r="S78" s="9" t="s">
        <v>487</v>
      </c>
      <c r="T78" s="9" t="s">
        <v>487</v>
      </c>
      <c r="U78" s="9" t="s">
        <v>487</v>
      </c>
      <c r="V78" s="9" t="s">
        <v>488</v>
      </c>
      <c r="W78" s="9" t="s">
        <v>487</v>
      </c>
      <c r="X78" s="9" t="s">
        <v>487</v>
      </c>
      <c r="Y78" s="9" t="s">
        <v>487</v>
      </c>
      <c r="Z78" s="9" t="s">
        <v>487</v>
      </c>
      <c r="AA78" s="9" t="s">
        <v>487</v>
      </c>
      <c r="AB78" s="9" t="s">
        <v>487</v>
      </c>
      <c r="AC78" s="9" t="s">
        <v>488</v>
      </c>
      <c r="AD78" s="9" t="s">
        <v>487</v>
      </c>
      <c r="AE78" s="9" t="s">
        <v>487</v>
      </c>
      <c r="AF78" s="9" t="s">
        <v>487</v>
      </c>
      <c r="AG78" s="9" t="s">
        <v>487</v>
      </c>
      <c r="AH78" s="9" t="s">
        <v>487</v>
      </c>
      <c r="AI78">
        <f t="shared" si="15"/>
        <v>24</v>
      </c>
      <c r="AJ78">
        <f t="shared" si="16"/>
        <v>2</v>
      </c>
      <c r="AK78">
        <f t="shared" si="17"/>
        <v>0</v>
      </c>
      <c r="AL78">
        <f t="shared" si="18"/>
        <v>0</v>
      </c>
      <c r="AM78">
        <f t="shared" si="19"/>
        <v>0</v>
      </c>
      <c r="AN78">
        <f t="shared" si="20"/>
        <v>0</v>
      </c>
      <c r="AO78">
        <f t="shared" si="21"/>
        <v>24</v>
      </c>
      <c r="AP78" s="66">
        <f t="shared" si="22"/>
        <v>92.307692307692307</v>
      </c>
    </row>
    <row r="79" spans="1:42">
      <c r="A79" t="s">
        <v>87</v>
      </c>
      <c r="B79" t="str">
        <f>_xlfn.XLOOKUP(A79,Table1[Emp_ID],Table1[Full_Name ])</f>
        <v>Bhavesh</v>
      </c>
      <c r="C79" t="str">
        <f>_xlfn.XLOOKUP(A79,Table1[Emp_ID],Table1[Department])</f>
        <v>Support</v>
      </c>
      <c r="D79" s="9" t="s">
        <v>487</v>
      </c>
      <c r="E79" s="9" t="s">
        <v>487</v>
      </c>
      <c r="F79" s="9" t="s">
        <v>487</v>
      </c>
      <c r="G79" s="9" t="s">
        <v>487</v>
      </c>
      <c r="H79" s="9" t="s">
        <v>488</v>
      </c>
      <c r="I79" s="9" t="s">
        <v>487</v>
      </c>
      <c r="J79" s="9" t="s">
        <v>487</v>
      </c>
      <c r="K79" s="9" t="s">
        <v>487</v>
      </c>
      <c r="L79" s="9" t="s">
        <v>487</v>
      </c>
      <c r="M79" s="9" t="s">
        <v>487</v>
      </c>
      <c r="N79" s="9" t="s">
        <v>487</v>
      </c>
      <c r="O79" s="9" t="s">
        <v>488</v>
      </c>
      <c r="P79" s="9" t="s">
        <v>488</v>
      </c>
      <c r="Q79" s="9" t="s">
        <v>487</v>
      </c>
      <c r="R79" s="9" t="s">
        <v>487</v>
      </c>
      <c r="S79" s="9" t="s">
        <v>491</v>
      </c>
      <c r="T79" s="9" t="s">
        <v>491</v>
      </c>
      <c r="U79" s="9" t="s">
        <v>487</v>
      </c>
      <c r="V79" s="9" t="s">
        <v>488</v>
      </c>
      <c r="W79" s="9" t="s">
        <v>487</v>
      </c>
      <c r="X79" s="9" t="s">
        <v>487</v>
      </c>
      <c r="Y79" s="9" t="s">
        <v>487</v>
      </c>
      <c r="Z79" s="9" t="s">
        <v>487</v>
      </c>
      <c r="AA79" s="9" t="s">
        <v>487</v>
      </c>
      <c r="AB79" s="9" t="s">
        <v>487</v>
      </c>
      <c r="AC79" s="9" t="s">
        <v>488</v>
      </c>
      <c r="AD79" s="9" t="s">
        <v>487</v>
      </c>
      <c r="AE79" s="9" t="s">
        <v>487</v>
      </c>
      <c r="AF79" s="9" t="s">
        <v>487</v>
      </c>
      <c r="AG79" s="9" t="s">
        <v>487</v>
      </c>
      <c r="AH79" s="9" t="s">
        <v>487</v>
      </c>
      <c r="AI79">
        <f t="shared" si="15"/>
        <v>24</v>
      </c>
      <c r="AJ79">
        <f t="shared" si="16"/>
        <v>0</v>
      </c>
      <c r="AK79">
        <f t="shared" si="17"/>
        <v>0</v>
      </c>
      <c r="AL79">
        <f t="shared" si="18"/>
        <v>2</v>
      </c>
      <c r="AM79">
        <f t="shared" si="19"/>
        <v>0</v>
      </c>
      <c r="AN79">
        <f t="shared" si="20"/>
        <v>0</v>
      </c>
      <c r="AO79">
        <f t="shared" si="21"/>
        <v>26</v>
      </c>
      <c r="AP79" s="66">
        <f t="shared" si="22"/>
        <v>100</v>
      </c>
    </row>
    <row r="80" spans="1:42">
      <c r="A80" t="s">
        <v>88</v>
      </c>
      <c r="B80" t="str">
        <f>_xlfn.XLOOKUP(A80,Table1[Emp_ID],Table1[Full_Name ])</f>
        <v>Tushar</v>
      </c>
      <c r="C80" t="str">
        <f>_xlfn.XLOOKUP(A80,Table1[Emp_ID],Table1[Department])</f>
        <v>Support</v>
      </c>
      <c r="D80" s="9" t="s">
        <v>487</v>
      </c>
      <c r="E80" s="9" t="s">
        <v>487</v>
      </c>
      <c r="F80" s="9" t="s">
        <v>487</v>
      </c>
      <c r="G80" s="9" t="s">
        <v>487</v>
      </c>
      <c r="H80" s="9" t="s">
        <v>488</v>
      </c>
      <c r="I80" s="9" t="s">
        <v>487</v>
      </c>
      <c r="J80" s="9" t="s">
        <v>487</v>
      </c>
      <c r="K80" s="9" t="s">
        <v>487</v>
      </c>
      <c r="L80" s="9" t="s">
        <v>487</v>
      </c>
      <c r="M80" s="9" t="s">
        <v>487</v>
      </c>
      <c r="N80" s="9" t="s">
        <v>490</v>
      </c>
      <c r="O80" s="9" t="s">
        <v>488</v>
      </c>
      <c r="P80" s="9" t="s">
        <v>488</v>
      </c>
      <c r="Q80" s="9" t="s">
        <v>487</v>
      </c>
      <c r="R80" s="9" t="s">
        <v>487</v>
      </c>
      <c r="S80" s="9" t="s">
        <v>487</v>
      </c>
      <c r="T80" s="9" t="s">
        <v>487</v>
      </c>
      <c r="U80" s="9" t="s">
        <v>487</v>
      </c>
      <c r="V80" s="9" t="s">
        <v>488</v>
      </c>
      <c r="W80" s="9" t="s">
        <v>487</v>
      </c>
      <c r="X80" s="9" t="s">
        <v>487</v>
      </c>
      <c r="Y80" s="9" t="s">
        <v>487</v>
      </c>
      <c r="Z80" s="9" t="s">
        <v>487</v>
      </c>
      <c r="AA80" s="9" t="s">
        <v>487</v>
      </c>
      <c r="AB80" s="9" t="s">
        <v>487</v>
      </c>
      <c r="AC80" s="9" t="s">
        <v>488</v>
      </c>
      <c r="AD80" s="9" t="s">
        <v>487</v>
      </c>
      <c r="AE80" s="9" t="s">
        <v>487</v>
      </c>
      <c r="AF80" s="9" t="s">
        <v>487</v>
      </c>
      <c r="AG80" s="9" t="s">
        <v>487</v>
      </c>
      <c r="AH80" s="9" t="s">
        <v>487</v>
      </c>
      <c r="AI80">
        <f t="shared" si="15"/>
        <v>25</v>
      </c>
      <c r="AJ80">
        <f t="shared" si="16"/>
        <v>1</v>
      </c>
      <c r="AK80">
        <f t="shared" si="17"/>
        <v>0</v>
      </c>
      <c r="AL80">
        <f t="shared" si="18"/>
        <v>0</v>
      </c>
      <c r="AM80">
        <f t="shared" si="19"/>
        <v>0</v>
      </c>
      <c r="AN80">
        <f t="shared" si="20"/>
        <v>0</v>
      </c>
      <c r="AO80">
        <f t="shared" si="21"/>
        <v>25</v>
      </c>
      <c r="AP80" s="66">
        <f t="shared" si="22"/>
        <v>96.15384615384616</v>
      </c>
    </row>
    <row r="81" spans="1:42">
      <c r="A81" t="s">
        <v>89</v>
      </c>
      <c r="B81" t="str">
        <f>_xlfn.XLOOKUP(A81,Table1[Emp_ID],Table1[Full_Name ])</f>
        <v>Chirag</v>
      </c>
      <c r="C81" t="str">
        <f>_xlfn.XLOOKUP(A81,Table1[Emp_ID],Table1[Department])</f>
        <v>Support</v>
      </c>
      <c r="D81" s="9" t="s">
        <v>487</v>
      </c>
      <c r="E81" s="9" t="s">
        <v>487</v>
      </c>
      <c r="F81" s="9" t="s">
        <v>492</v>
      </c>
      <c r="G81" s="9" t="s">
        <v>487</v>
      </c>
      <c r="H81" s="9" t="s">
        <v>488</v>
      </c>
      <c r="I81" s="9" t="s">
        <v>487</v>
      </c>
      <c r="J81" s="9" t="s">
        <v>487</v>
      </c>
      <c r="K81" s="9" t="s">
        <v>487</v>
      </c>
      <c r="L81" s="9" t="s">
        <v>487</v>
      </c>
      <c r="M81" s="9" t="s">
        <v>487</v>
      </c>
      <c r="N81" s="9" t="s">
        <v>487</v>
      </c>
      <c r="O81" s="9" t="s">
        <v>488</v>
      </c>
      <c r="P81" s="9" t="s">
        <v>488</v>
      </c>
      <c r="Q81" s="9" t="s">
        <v>487</v>
      </c>
      <c r="R81" s="9" t="s">
        <v>487</v>
      </c>
      <c r="S81" s="9" t="s">
        <v>487</v>
      </c>
      <c r="T81" s="9" t="s">
        <v>487</v>
      </c>
      <c r="U81" s="9" t="s">
        <v>487</v>
      </c>
      <c r="V81" s="9" t="s">
        <v>488</v>
      </c>
      <c r="W81" s="9" t="s">
        <v>487</v>
      </c>
      <c r="X81" s="9" t="s">
        <v>487</v>
      </c>
      <c r="Y81" s="9" t="s">
        <v>487</v>
      </c>
      <c r="Z81" s="9" t="s">
        <v>487</v>
      </c>
      <c r="AA81" s="9"/>
      <c r="AB81" s="9"/>
      <c r="AC81" s="9" t="s">
        <v>488</v>
      </c>
      <c r="AD81" s="9" t="s">
        <v>487</v>
      </c>
      <c r="AE81" s="9" t="s">
        <v>491</v>
      </c>
      <c r="AF81" s="9" t="s">
        <v>487</v>
      </c>
      <c r="AG81" s="9" t="s">
        <v>487</v>
      </c>
      <c r="AH81" s="9" t="s">
        <v>487</v>
      </c>
      <c r="AI81">
        <f t="shared" si="15"/>
        <v>22</v>
      </c>
      <c r="AJ81">
        <f t="shared" si="16"/>
        <v>0</v>
      </c>
      <c r="AK81">
        <f t="shared" si="17"/>
        <v>0</v>
      </c>
      <c r="AL81">
        <f t="shared" si="18"/>
        <v>1</v>
      </c>
      <c r="AM81">
        <f t="shared" si="19"/>
        <v>0</v>
      </c>
      <c r="AN81">
        <f t="shared" si="20"/>
        <v>1</v>
      </c>
      <c r="AO81">
        <f t="shared" si="21"/>
        <v>23</v>
      </c>
      <c r="AP81" s="66">
        <f t="shared" si="22"/>
        <v>88.461538461538453</v>
      </c>
    </row>
    <row r="82" spans="1:42">
      <c r="A82" t="s">
        <v>90</v>
      </c>
      <c r="B82" t="str">
        <f>_xlfn.XLOOKUP(A82,Table1[Emp_ID],Table1[Full_Name ])</f>
        <v>Nirav</v>
      </c>
      <c r="C82" t="str">
        <f>_xlfn.XLOOKUP(A82,Table1[Emp_ID],Table1[Department])</f>
        <v>Support</v>
      </c>
      <c r="D82" s="9" t="s">
        <v>487</v>
      </c>
      <c r="E82" s="9" t="s">
        <v>487</v>
      </c>
      <c r="F82" s="9" t="s">
        <v>487</v>
      </c>
      <c r="G82" s="9" t="s">
        <v>487</v>
      </c>
      <c r="H82" s="9" t="s">
        <v>488</v>
      </c>
      <c r="I82" s="9" t="s">
        <v>487</v>
      </c>
      <c r="J82" s="9" t="s">
        <v>487</v>
      </c>
      <c r="K82" s="9" t="s">
        <v>487</v>
      </c>
      <c r="L82" s="9" t="s">
        <v>492</v>
      </c>
      <c r="M82" s="9" t="s">
        <v>487</v>
      </c>
      <c r="N82" s="9" t="s">
        <v>487</v>
      </c>
      <c r="O82" s="9" t="s">
        <v>488</v>
      </c>
      <c r="P82" s="9" t="s">
        <v>488</v>
      </c>
      <c r="Q82" s="9" t="s">
        <v>487</v>
      </c>
      <c r="R82" s="9" t="s">
        <v>487</v>
      </c>
      <c r="S82" s="9" t="s">
        <v>487</v>
      </c>
      <c r="T82" s="9" t="s">
        <v>487</v>
      </c>
      <c r="U82" s="9" t="s">
        <v>487</v>
      </c>
      <c r="V82" s="9" t="s">
        <v>488</v>
      </c>
      <c r="W82" s="9" t="s">
        <v>487</v>
      </c>
      <c r="X82" s="9" t="s">
        <v>487</v>
      </c>
      <c r="Y82" s="9" t="s">
        <v>487</v>
      </c>
      <c r="Z82" s="9" t="s">
        <v>487</v>
      </c>
      <c r="AA82" s="9" t="s">
        <v>487</v>
      </c>
      <c r="AB82" s="9" t="s">
        <v>487</v>
      </c>
      <c r="AC82" s="9" t="s">
        <v>488</v>
      </c>
      <c r="AD82" s="9" t="s">
        <v>487</v>
      </c>
      <c r="AE82" s="9" t="s">
        <v>490</v>
      </c>
      <c r="AF82" s="9" t="s">
        <v>487</v>
      </c>
      <c r="AG82" s="9" t="s">
        <v>487</v>
      </c>
      <c r="AH82" s="9" t="s">
        <v>487</v>
      </c>
      <c r="AI82">
        <f t="shared" si="15"/>
        <v>24</v>
      </c>
      <c r="AJ82">
        <f t="shared" si="16"/>
        <v>1</v>
      </c>
      <c r="AK82">
        <f t="shared" si="17"/>
        <v>0</v>
      </c>
      <c r="AL82">
        <f t="shared" si="18"/>
        <v>0</v>
      </c>
      <c r="AM82">
        <f t="shared" si="19"/>
        <v>0</v>
      </c>
      <c r="AN82">
        <f t="shared" si="20"/>
        <v>1</v>
      </c>
      <c r="AO82">
        <f t="shared" si="21"/>
        <v>24</v>
      </c>
      <c r="AP82" s="66">
        <f t="shared" si="22"/>
        <v>92.307692307692307</v>
      </c>
    </row>
    <row r="83" spans="1:42">
      <c r="A83" t="s">
        <v>91</v>
      </c>
      <c r="B83" t="str">
        <f>_xlfn.XLOOKUP(A83,Table1[Emp_ID],Table1[Full_Name ])</f>
        <v>Tejas</v>
      </c>
      <c r="C83" t="str">
        <f>_xlfn.XLOOKUP(A83,Table1[Emp_ID],Table1[Department])</f>
        <v>Support</v>
      </c>
      <c r="D83" s="9" t="s">
        <v>487</v>
      </c>
      <c r="E83" s="9" t="s">
        <v>487</v>
      </c>
      <c r="F83" s="9" t="s">
        <v>487</v>
      </c>
      <c r="G83" s="9" t="s">
        <v>490</v>
      </c>
      <c r="H83" s="9" t="s">
        <v>488</v>
      </c>
      <c r="I83" s="9" t="s">
        <v>487</v>
      </c>
      <c r="J83" s="9" t="s">
        <v>487</v>
      </c>
      <c r="K83" s="9" t="s">
        <v>487</v>
      </c>
      <c r="L83" s="9" t="s">
        <v>487</v>
      </c>
      <c r="M83" s="9" t="s">
        <v>487</v>
      </c>
      <c r="N83" s="9" t="s">
        <v>487</v>
      </c>
      <c r="O83" s="9" t="s">
        <v>488</v>
      </c>
      <c r="P83" s="9" t="s">
        <v>488</v>
      </c>
      <c r="Q83" s="9" t="s">
        <v>487</v>
      </c>
      <c r="R83" s="9" t="s">
        <v>487</v>
      </c>
      <c r="S83" s="9" t="s">
        <v>487</v>
      </c>
      <c r="T83" s="9" t="s">
        <v>487</v>
      </c>
      <c r="U83" s="9" t="s">
        <v>487</v>
      </c>
      <c r="V83" s="9" t="s">
        <v>488</v>
      </c>
      <c r="W83" s="9" t="s">
        <v>487</v>
      </c>
      <c r="X83" s="9" t="s">
        <v>487</v>
      </c>
      <c r="Y83" s="9" t="s">
        <v>487</v>
      </c>
      <c r="Z83" s="9" t="s">
        <v>487</v>
      </c>
      <c r="AA83" s="9" t="s">
        <v>487</v>
      </c>
      <c r="AB83" s="9" t="s">
        <v>487</v>
      </c>
      <c r="AC83" s="9" t="s">
        <v>488</v>
      </c>
      <c r="AD83" s="9" t="s">
        <v>487</v>
      </c>
      <c r="AE83" s="9" t="s">
        <v>487</v>
      </c>
      <c r="AF83" s="9" t="s">
        <v>487</v>
      </c>
      <c r="AG83" s="9" t="s">
        <v>487</v>
      </c>
      <c r="AH83" s="9" t="s">
        <v>487</v>
      </c>
      <c r="AI83">
        <f t="shared" si="15"/>
        <v>25</v>
      </c>
      <c r="AJ83">
        <f t="shared" si="16"/>
        <v>1</v>
      </c>
      <c r="AK83">
        <f t="shared" si="17"/>
        <v>0</v>
      </c>
      <c r="AL83">
        <f t="shared" si="18"/>
        <v>0</v>
      </c>
      <c r="AM83">
        <f t="shared" si="19"/>
        <v>0</v>
      </c>
      <c r="AN83">
        <f t="shared" si="20"/>
        <v>0</v>
      </c>
      <c r="AO83">
        <f t="shared" si="21"/>
        <v>25</v>
      </c>
      <c r="AP83" s="66">
        <f t="shared" si="22"/>
        <v>96.15384615384616</v>
      </c>
    </row>
    <row r="84" spans="1:42">
      <c r="A84" t="s">
        <v>92</v>
      </c>
      <c r="B84" t="str">
        <f>_xlfn.XLOOKUP(A84,Table1[Emp_ID],Table1[Full_Name ])</f>
        <v>Vishal</v>
      </c>
      <c r="C84" t="str">
        <f>_xlfn.XLOOKUP(A84,Table1[Emp_ID],Table1[Department])</f>
        <v>Support</v>
      </c>
      <c r="D84" s="9" t="s">
        <v>487</v>
      </c>
      <c r="E84" s="9" t="s">
        <v>487</v>
      </c>
      <c r="F84" s="9" t="s">
        <v>487</v>
      </c>
      <c r="G84" s="9" t="s">
        <v>487</v>
      </c>
      <c r="H84" s="9" t="s">
        <v>488</v>
      </c>
      <c r="I84" s="9" t="s">
        <v>487</v>
      </c>
      <c r="J84" s="9" t="s">
        <v>487</v>
      </c>
      <c r="K84" s="9" t="s">
        <v>487</v>
      </c>
      <c r="L84" s="9" t="s">
        <v>487</v>
      </c>
      <c r="M84" s="9" t="s">
        <v>490</v>
      </c>
      <c r="N84" s="9" t="s">
        <v>487</v>
      </c>
      <c r="O84" s="9" t="s">
        <v>488</v>
      </c>
      <c r="P84" s="9" t="s">
        <v>488</v>
      </c>
      <c r="Q84" s="9" t="s">
        <v>487</v>
      </c>
      <c r="R84" s="9" t="s">
        <v>487</v>
      </c>
      <c r="S84" s="9" t="s">
        <v>487</v>
      </c>
      <c r="T84" s="9" t="s">
        <v>487</v>
      </c>
      <c r="U84" s="9" t="s">
        <v>487</v>
      </c>
      <c r="V84" s="9" t="s">
        <v>488</v>
      </c>
      <c r="W84" s="9" t="s">
        <v>487</v>
      </c>
      <c r="X84" s="9" t="s">
        <v>487</v>
      </c>
      <c r="Y84" s="9" t="s">
        <v>487</v>
      </c>
      <c r="Z84" s="9" t="s">
        <v>487</v>
      </c>
      <c r="AA84" s="9" t="s">
        <v>487</v>
      </c>
      <c r="AB84" s="9" t="s">
        <v>487</v>
      </c>
      <c r="AC84" s="9" t="s">
        <v>488</v>
      </c>
      <c r="AD84" s="9" t="s">
        <v>487</v>
      </c>
      <c r="AE84" s="9" t="s">
        <v>487</v>
      </c>
      <c r="AF84" s="9" t="s">
        <v>487</v>
      </c>
      <c r="AG84" s="9" t="s">
        <v>487</v>
      </c>
      <c r="AH84" s="9" t="s">
        <v>487</v>
      </c>
      <c r="AI84">
        <f t="shared" si="15"/>
        <v>25</v>
      </c>
      <c r="AJ84">
        <f t="shared" si="16"/>
        <v>1</v>
      </c>
      <c r="AK84">
        <f t="shared" si="17"/>
        <v>0</v>
      </c>
      <c r="AL84">
        <f t="shared" si="18"/>
        <v>0</v>
      </c>
      <c r="AM84">
        <f t="shared" si="19"/>
        <v>0</v>
      </c>
      <c r="AN84">
        <f t="shared" si="20"/>
        <v>0</v>
      </c>
      <c r="AO84">
        <f t="shared" si="21"/>
        <v>25</v>
      </c>
      <c r="AP84" s="66">
        <f t="shared" si="22"/>
        <v>96.15384615384616</v>
      </c>
    </row>
    <row r="85" spans="1:42">
      <c r="A85" t="s">
        <v>93</v>
      </c>
      <c r="B85" t="str">
        <f>_xlfn.XLOOKUP(A85,Table1[Emp_ID],Table1[Full_Name ])</f>
        <v>Hemant</v>
      </c>
      <c r="C85" t="str">
        <f>_xlfn.XLOOKUP(A85,Table1[Emp_ID],Table1[Department])</f>
        <v>Support</v>
      </c>
      <c r="D85" s="9" t="s">
        <v>487</v>
      </c>
      <c r="E85" s="9" t="s">
        <v>487</v>
      </c>
      <c r="F85" s="9" t="s">
        <v>487</v>
      </c>
      <c r="G85" s="9" t="s">
        <v>487</v>
      </c>
      <c r="H85" s="9" t="s">
        <v>488</v>
      </c>
      <c r="I85" s="9" t="s">
        <v>487</v>
      </c>
      <c r="J85" s="9" t="s">
        <v>487</v>
      </c>
      <c r="K85" s="9" t="s">
        <v>487</v>
      </c>
      <c r="L85" s="9" t="s">
        <v>487</v>
      </c>
      <c r="M85" s="9" t="s">
        <v>487</v>
      </c>
      <c r="N85" s="9" t="s">
        <v>487</v>
      </c>
      <c r="O85" s="9" t="s">
        <v>488</v>
      </c>
      <c r="P85" s="9" t="s">
        <v>488</v>
      </c>
      <c r="Q85" s="9" t="s">
        <v>487</v>
      </c>
      <c r="R85" s="9" t="s">
        <v>487</v>
      </c>
      <c r="S85" s="9" t="s">
        <v>487</v>
      </c>
      <c r="T85" s="9" t="s">
        <v>490</v>
      </c>
      <c r="U85" s="9" t="s">
        <v>487</v>
      </c>
      <c r="V85" s="9" t="s">
        <v>488</v>
      </c>
      <c r="W85" s="9" t="s">
        <v>487</v>
      </c>
      <c r="X85" s="9" t="s">
        <v>487</v>
      </c>
      <c r="Y85" s="9" t="s">
        <v>487</v>
      </c>
      <c r="Z85" s="9" t="s">
        <v>487</v>
      </c>
      <c r="AA85" s="9" t="s">
        <v>487</v>
      </c>
      <c r="AB85" s="9" t="s">
        <v>487</v>
      </c>
      <c r="AC85" s="9" t="s">
        <v>488</v>
      </c>
      <c r="AD85" s="9" t="s">
        <v>487</v>
      </c>
      <c r="AE85" s="9" t="s">
        <v>487</v>
      </c>
      <c r="AF85" s="9" t="s">
        <v>487</v>
      </c>
      <c r="AG85" s="9" t="s">
        <v>487</v>
      </c>
      <c r="AH85" s="9" t="s">
        <v>487</v>
      </c>
      <c r="AI85">
        <f t="shared" si="15"/>
        <v>25</v>
      </c>
      <c r="AJ85">
        <f t="shared" si="16"/>
        <v>1</v>
      </c>
      <c r="AK85">
        <f t="shared" si="17"/>
        <v>0</v>
      </c>
      <c r="AL85">
        <f t="shared" si="18"/>
        <v>0</v>
      </c>
      <c r="AM85">
        <f t="shared" si="19"/>
        <v>0</v>
      </c>
      <c r="AN85">
        <f t="shared" si="20"/>
        <v>0</v>
      </c>
      <c r="AO85">
        <f t="shared" si="21"/>
        <v>25</v>
      </c>
      <c r="AP85" s="66">
        <f t="shared" si="22"/>
        <v>96.15384615384616</v>
      </c>
    </row>
    <row r="86" spans="1:42">
      <c r="A86" t="s">
        <v>94</v>
      </c>
      <c r="B86" t="str">
        <f>_xlfn.XLOOKUP(A86,Table1[Emp_ID],Table1[Full_Name ])</f>
        <v>Lokesh</v>
      </c>
      <c r="C86" t="str">
        <f>_xlfn.XLOOKUP(A86,Table1[Emp_ID],Table1[Department])</f>
        <v>Support</v>
      </c>
      <c r="D86" s="9" t="s">
        <v>487</v>
      </c>
      <c r="E86" s="9" t="s">
        <v>490</v>
      </c>
      <c r="F86" s="9" t="s">
        <v>487</v>
      </c>
      <c r="G86" s="9" t="s">
        <v>487</v>
      </c>
      <c r="H86" s="9" t="s">
        <v>488</v>
      </c>
      <c r="I86" s="9" t="s">
        <v>487</v>
      </c>
      <c r="J86" s="9" t="s">
        <v>487</v>
      </c>
      <c r="K86" s="9" t="s">
        <v>487</v>
      </c>
      <c r="L86" s="9" t="s">
        <v>487</v>
      </c>
      <c r="M86" s="9" t="s">
        <v>487</v>
      </c>
      <c r="N86" s="9" t="s">
        <v>487</v>
      </c>
      <c r="O86" s="9" t="s">
        <v>488</v>
      </c>
      <c r="P86" s="9" t="s">
        <v>488</v>
      </c>
      <c r="Q86" s="9" t="s">
        <v>487</v>
      </c>
      <c r="R86" s="9" t="s">
        <v>487</v>
      </c>
      <c r="S86" s="9" t="s">
        <v>487</v>
      </c>
      <c r="T86" s="9" t="s">
        <v>487</v>
      </c>
      <c r="U86" s="9" t="s">
        <v>487</v>
      </c>
      <c r="V86" s="9" t="s">
        <v>488</v>
      </c>
      <c r="W86" s="9" t="s">
        <v>487</v>
      </c>
      <c r="X86" s="9" t="s">
        <v>492</v>
      </c>
      <c r="Y86" s="9" t="s">
        <v>487</v>
      </c>
      <c r="Z86" s="9" t="s">
        <v>487</v>
      </c>
      <c r="AA86" s="9" t="s">
        <v>487</v>
      </c>
      <c r="AB86" s="9" t="s">
        <v>487</v>
      </c>
      <c r="AC86" s="9" t="s">
        <v>488</v>
      </c>
      <c r="AD86" s="9" t="s">
        <v>491</v>
      </c>
      <c r="AE86" s="9" t="s">
        <v>491</v>
      </c>
      <c r="AF86" s="9" t="s">
        <v>487</v>
      </c>
      <c r="AG86" s="9" t="s">
        <v>487</v>
      </c>
      <c r="AH86" s="9" t="s">
        <v>487</v>
      </c>
      <c r="AI86">
        <f t="shared" si="15"/>
        <v>22</v>
      </c>
      <c r="AJ86">
        <f t="shared" si="16"/>
        <v>1</v>
      </c>
      <c r="AK86">
        <f t="shared" si="17"/>
        <v>0</v>
      </c>
      <c r="AL86">
        <f t="shared" si="18"/>
        <v>2</v>
      </c>
      <c r="AM86">
        <f t="shared" si="19"/>
        <v>0</v>
      </c>
      <c r="AN86">
        <f t="shared" si="20"/>
        <v>1</v>
      </c>
      <c r="AO86">
        <f t="shared" si="21"/>
        <v>24</v>
      </c>
      <c r="AP86" s="66">
        <f t="shared" si="22"/>
        <v>92.307692307692307</v>
      </c>
    </row>
    <row r="87" spans="1:42">
      <c r="A87" t="s">
        <v>95</v>
      </c>
      <c r="B87" t="str">
        <f>_xlfn.XLOOKUP(A87,Table1[Emp_ID],Table1[Full_Name ])</f>
        <v>Dinesh</v>
      </c>
      <c r="C87" t="str">
        <f>_xlfn.XLOOKUP(A87,Table1[Emp_ID],Table1[Department])</f>
        <v>Support</v>
      </c>
      <c r="D87" s="9" t="s">
        <v>487</v>
      </c>
      <c r="E87" s="9" t="s">
        <v>487</v>
      </c>
      <c r="F87" s="9" t="s">
        <v>487</v>
      </c>
      <c r="G87" s="9" t="s">
        <v>487</v>
      </c>
      <c r="H87" s="9" t="s">
        <v>488</v>
      </c>
      <c r="I87" s="9" t="s">
        <v>487</v>
      </c>
      <c r="J87" s="9" t="s">
        <v>487</v>
      </c>
      <c r="K87" s="9" t="s">
        <v>490</v>
      </c>
      <c r="L87" s="9" t="s">
        <v>487</v>
      </c>
      <c r="M87" s="9" t="s">
        <v>487</v>
      </c>
      <c r="N87" s="9" t="s">
        <v>487</v>
      </c>
      <c r="O87" s="9" t="s">
        <v>488</v>
      </c>
      <c r="P87" s="9" t="s">
        <v>488</v>
      </c>
      <c r="Q87" s="9" t="s">
        <v>487</v>
      </c>
      <c r="R87" s="9" t="s">
        <v>492</v>
      </c>
      <c r="S87" s="9" t="s">
        <v>487</v>
      </c>
      <c r="T87" s="9" t="s">
        <v>487</v>
      </c>
      <c r="U87" s="9" t="s">
        <v>487</v>
      </c>
      <c r="V87" s="9" t="s">
        <v>488</v>
      </c>
      <c r="W87" s="9" t="s">
        <v>487</v>
      </c>
      <c r="X87" s="9" t="s">
        <v>487</v>
      </c>
      <c r="Y87" s="9" t="s">
        <v>487</v>
      </c>
      <c r="Z87" s="9" t="s">
        <v>487</v>
      </c>
      <c r="AA87" s="9" t="s">
        <v>487</v>
      </c>
      <c r="AB87" s="9" t="s">
        <v>487</v>
      </c>
      <c r="AC87" s="9" t="s">
        <v>488</v>
      </c>
      <c r="AD87" s="9" t="s">
        <v>487</v>
      </c>
      <c r="AE87" s="9" t="s">
        <v>487</v>
      </c>
      <c r="AF87" s="9" t="s">
        <v>487</v>
      </c>
      <c r="AG87" s="9" t="s">
        <v>487</v>
      </c>
      <c r="AH87" s="9" t="s">
        <v>487</v>
      </c>
      <c r="AI87">
        <f t="shared" si="15"/>
        <v>24</v>
      </c>
      <c r="AJ87">
        <f t="shared" si="16"/>
        <v>1</v>
      </c>
      <c r="AK87">
        <f t="shared" si="17"/>
        <v>0</v>
      </c>
      <c r="AL87">
        <f t="shared" si="18"/>
        <v>0</v>
      </c>
      <c r="AM87">
        <f t="shared" si="19"/>
        <v>0</v>
      </c>
      <c r="AN87">
        <f t="shared" si="20"/>
        <v>1</v>
      </c>
      <c r="AO87">
        <f t="shared" si="21"/>
        <v>24</v>
      </c>
      <c r="AP87" s="66">
        <f t="shared" si="22"/>
        <v>92.307692307692307</v>
      </c>
    </row>
    <row r="88" spans="1:42">
      <c r="A88" t="s">
        <v>96</v>
      </c>
      <c r="B88" t="str">
        <f>_xlfn.XLOOKUP(A88,Table1[Emp_ID],Table1[Full_Name ])</f>
        <v>Umesh</v>
      </c>
      <c r="C88" t="str">
        <f>_xlfn.XLOOKUP(A88,Table1[Emp_ID],Table1[Department])</f>
        <v>Accounts</v>
      </c>
      <c r="D88" s="9" t="s">
        <v>487</v>
      </c>
      <c r="E88" s="9" t="s">
        <v>487</v>
      </c>
      <c r="F88" s="9" t="s">
        <v>487</v>
      </c>
      <c r="G88" s="9" t="s">
        <v>487</v>
      </c>
      <c r="H88" s="9" t="s">
        <v>488</v>
      </c>
      <c r="I88" s="9" t="s">
        <v>487</v>
      </c>
      <c r="J88" s="9" t="s">
        <v>487</v>
      </c>
      <c r="K88" s="9" t="s">
        <v>487</v>
      </c>
      <c r="L88" s="9" t="s">
        <v>487</v>
      </c>
      <c r="M88" s="9" t="s">
        <v>487</v>
      </c>
      <c r="N88" s="9" t="s">
        <v>487</v>
      </c>
      <c r="O88" s="9" t="s">
        <v>488</v>
      </c>
      <c r="P88" s="9" t="s">
        <v>488</v>
      </c>
      <c r="Q88" s="9" t="s">
        <v>487</v>
      </c>
      <c r="R88" s="9" t="s">
        <v>487</v>
      </c>
      <c r="S88" s="9" t="s">
        <v>487</v>
      </c>
      <c r="T88" s="9" t="s">
        <v>487</v>
      </c>
      <c r="U88" s="9" t="s">
        <v>487</v>
      </c>
      <c r="V88" s="9" t="s">
        <v>488</v>
      </c>
      <c r="W88" s="9" t="s">
        <v>487</v>
      </c>
      <c r="X88" s="9" t="s">
        <v>487</v>
      </c>
      <c r="Y88" s="9" t="s">
        <v>487</v>
      </c>
      <c r="Z88" s="9" t="s">
        <v>487</v>
      </c>
      <c r="AA88" s="9" t="s">
        <v>487</v>
      </c>
      <c r="AB88" s="9" t="s">
        <v>487</v>
      </c>
      <c r="AC88" s="9" t="s">
        <v>488</v>
      </c>
      <c r="AD88" s="9" t="s">
        <v>487</v>
      </c>
      <c r="AE88" s="9" t="s">
        <v>487</v>
      </c>
      <c r="AF88" s="9" t="s">
        <v>487</v>
      </c>
      <c r="AG88" s="9" t="s">
        <v>487</v>
      </c>
      <c r="AH88" s="9" t="s">
        <v>487</v>
      </c>
      <c r="AI88">
        <f t="shared" si="15"/>
        <v>26</v>
      </c>
      <c r="AJ88">
        <f t="shared" si="16"/>
        <v>0</v>
      </c>
      <c r="AK88">
        <f t="shared" si="17"/>
        <v>0</v>
      </c>
      <c r="AL88">
        <f t="shared" si="18"/>
        <v>0</v>
      </c>
      <c r="AM88">
        <f t="shared" si="19"/>
        <v>0</v>
      </c>
      <c r="AN88">
        <f t="shared" si="20"/>
        <v>0</v>
      </c>
      <c r="AO88">
        <f t="shared" si="21"/>
        <v>26</v>
      </c>
      <c r="AP88" s="66">
        <f t="shared" si="22"/>
        <v>100</v>
      </c>
    </row>
    <row r="89" spans="1:42">
      <c r="A89" t="s">
        <v>97</v>
      </c>
      <c r="B89" t="str">
        <f>_xlfn.XLOOKUP(A89,Table1[Emp_ID],Table1[Full_Name ])</f>
        <v>Naresh</v>
      </c>
      <c r="C89" t="str">
        <f>_xlfn.XLOOKUP(A89,Table1[Emp_ID],Table1[Department])</f>
        <v>Accounts</v>
      </c>
      <c r="D89" s="9" t="s">
        <v>487</v>
      </c>
      <c r="E89" s="9" t="s">
        <v>487</v>
      </c>
      <c r="F89" s="9" t="s">
        <v>487</v>
      </c>
      <c r="G89" s="9" t="s">
        <v>487</v>
      </c>
      <c r="H89" s="9" t="s">
        <v>488</v>
      </c>
      <c r="I89" s="9" t="s">
        <v>487</v>
      </c>
      <c r="J89" s="9" t="s">
        <v>487</v>
      </c>
      <c r="K89" s="9" t="s">
        <v>487</v>
      </c>
      <c r="L89" s="9" t="s">
        <v>487</v>
      </c>
      <c r="M89" s="9" t="s">
        <v>487</v>
      </c>
      <c r="N89" s="9" t="s">
        <v>487</v>
      </c>
      <c r="O89" s="9" t="s">
        <v>488</v>
      </c>
      <c r="P89" s="9" t="s">
        <v>488</v>
      </c>
      <c r="Q89" s="9" t="s">
        <v>487</v>
      </c>
      <c r="R89" s="9" t="s">
        <v>487</v>
      </c>
      <c r="S89" s="9" t="s">
        <v>490</v>
      </c>
      <c r="T89" s="9" t="s">
        <v>487</v>
      </c>
      <c r="U89" s="9" t="s">
        <v>487</v>
      </c>
      <c r="V89" s="9" t="s">
        <v>488</v>
      </c>
      <c r="W89" s="9" t="s">
        <v>487</v>
      </c>
      <c r="X89" s="9" t="s">
        <v>487</v>
      </c>
      <c r="Y89" s="9" t="s">
        <v>489</v>
      </c>
      <c r="Z89" s="9" t="s">
        <v>489</v>
      </c>
      <c r="AA89" s="9" t="s">
        <v>487</v>
      </c>
      <c r="AB89" s="9" t="s">
        <v>487</v>
      </c>
      <c r="AC89" s="9" t="s">
        <v>488</v>
      </c>
      <c r="AD89" s="9" t="s">
        <v>487</v>
      </c>
      <c r="AE89" s="9" t="s">
        <v>487</v>
      </c>
      <c r="AF89" s="9" t="s">
        <v>487</v>
      </c>
      <c r="AG89" s="9" t="s">
        <v>487</v>
      </c>
      <c r="AH89" s="9" t="s">
        <v>487</v>
      </c>
      <c r="AI89">
        <f t="shared" si="15"/>
        <v>23</v>
      </c>
      <c r="AJ89">
        <f t="shared" si="16"/>
        <v>1</v>
      </c>
      <c r="AK89">
        <f t="shared" si="17"/>
        <v>2</v>
      </c>
      <c r="AL89">
        <f t="shared" si="18"/>
        <v>0</v>
      </c>
      <c r="AM89">
        <f t="shared" si="19"/>
        <v>0</v>
      </c>
      <c r="AN89">
        <f t="shared" si="20"/>
        <v>0</v>
      </c>
      <c r="AO89">
        <f t="shared" si="21"/>
        <v>25</v>
      </c>
      <c r="AP89" s="66">
        <f t="shared" si="22"/>
        <v>96.15384615384616</v>
      </c>
    </row>
    <row r="90" spans="1:42">
      <c r="A90" t="s">
        <v>98</v>
      </c>
      <c r="B90" t="str">
        <f>_xlfn.XLOOKUP(A90,Table1[Emp_ID],Table1[Full_Name ])</f>
        <v>Rajiv</v>
      </c>
      <c r="C90" t="str">
        <f>_xlfn.XLOOKUP(A90,Table1[Emp_ID],Table1[Department])</f>
        <v>Accounts</v>
      </c>
      <c r="D90" s="9" t="s">
        <v>487</v>
      </c>
      <c r="E90" s="9" t="s">
        <v>487</v>
      </c>
      <c r="F90" s="9" t="s">
        <v>492</v>
      </c>
      <c r="G90" s="9" t="s">
        <v>487</v>
      </c>
      <c r="H90" s="9" t="s">
        <v>488</v>
      </c>
      <c r="I90" s="9" t="s">
        <v>487</v>
      </c>
      <c r="J90" s="9" t="s">
        <v>487</v>
      </c>
      <c r="K90" s="9" t="s">
        <v>487</v>
      </c>
      <c r="L90" s="9" t="s">
        <v>487</v>
      </c>
      <c r="M90" s="9" t="s">
        <v>487</v>
      </c>
      <c r="N90" s="9" t="s">
        <v>487</v>
      </c>
      <c r="O90" s="9" t="s">
        <v>488</v>
      </c>
      <c r="P90" s="9" t="s">
        <v>488</v>
      </c>
      <c r="Q90" s="9" t="s">
        <v>487</v>
      </c>
      <c r="R90" s="9" t="s">
        <v>487</v>
      </c>
      <c r="S90" s="9" t="s">
        <v>487</v>
      </c>
      <c r="T90" s="9" t="s">
        <v>487</v>
      </c>
      <c r="U90" s="9" t="s">
        <v>487</v>
      </c>
      <c r="V90" s="9" t="s">
        <v>488</v>
      </c>
      <c r="W90" s="9" t="s">
        <v>487</v>
      </c>
      <c r="X90" s="9" t="s">
        <v>487</v>
      </c>
      <c r="Y90" s="9" t="s">
        <v>487</v>
      </c>
      <c r="Z90" s="9" t="s">
        <v>487</v>
      </c>
      <c r="AA90" s="9" t="s">
        <v>487</v>
      </c>
      <c r="AB90" s="9" t="s">
        <v>487</v>
      </c>
      <c r="AC90" s="9" t="s">
        <v>488</v>
      </c>
      <c r="AD90" s="9" t="s">
        <v>487</v>
      </c>
      <c r="AE90" s="9" t="s">
        <v>487</v>
      </c>
      <c r="AF90" s="9" t="s">
        <v>487</v>
      </c>
      <c r="AG90" s="9" t="s">
        <v>487</v>
      </c>
      <c r="AH90" s="9" t="s">
        <v>487</v>
      </c>
      <c r="AI90">
        <f t="shared" si="15"/>
        <v>25</v>
      </c>
      <c r="AJ90">
        <f t="shared" si="16"/>
        <v>0</v>
      </c>
      <c r="AK90">
        <f t="shared" si="17"/>
        <v>0</v>
      </c>
      <c r="AL90">
        <f t="shared" si="18"/>
        <v>0</v>
      </c>
      <c r="AM90">
        <f t="shared" si="19"/>
        <v>0</v>
      </c>
      <c r="AN90">
        <f t="shared" si="20"/>
        <v>1</v>
      </c>
      <c r="AO90">
        <f t="shared" si="21"/>
        <v>25</v>
      </c>
      <c r="AP90" s="66">
        <f t="shared" si="22"/>
        <v>96.15384615384616</v>
      </c>
    </row>
    <row r="91" spans="1:42">
      <c r="A91" t="s">
        <v>99</v>
      </c>
      <c r="B91" t="str">
        <f>_xlfn.XLOOKUP(A91,Table1[Emp_ID],Table1[Full_Name ])</f>
        <v>Suresh</v>
      </c>
      <c r="C91" t="str">
        <f>_xlfn.XLOOKUP(A91,Table1[Emp_ID],Table1[Department])</f>
        <v>Accounts</v>
      </c>
      <c r="D91" s="9" t="s">
        <v>487</v>
      </c>
      <c r="E91" s="9" t="s">
        <v>487</v>
      </c>
      <c r="F91" s="9" t="s">
        <v>487</v>
      </c>
      <c r="G91" s="9" t="s">
        <v>487</v>
      </c>
      <c r="H91" s="9" t="s">
        <v>488</v>
      </c>
      <c r="I91" s="9" t="s">
        <v>487</v>
      </c>
      <c r="J91" s="9" t="s">
        <v>487</v>
      </c>
      <c r="K91" s="9" t="s">
        <v>487</v>
      </c>
      <c r="L91" s="9" t="s">
        <v>487</v>
      </c>
      <c r="M91" s="9" t="s">
        <v>487</v>
      </c>
      <c r="N91" s="9" t="s">
        <v>487</v>
      </c>
      <c r="O91" s="9" t="s">
        <v>488</v>
      </c>
      <c r="P91" s="9" t="s">
        <v>488</v>
      </c>
      <c r="Q91" s="9" t="s">
        <v>487</v>
      </c>
      <c r="R91" s="9" t="s">
        <v>487</v>
      </c>
      <c r="S91" s="9" t="s">
        <v>487</v>
      </c>
      <c r="T91" s="9" t="s">
        <v>487</v>
      </c>
      <c r="U91" s="9" t="s">
        <v>487</v>
      </c>
      <c r="V91" s="9" t="s">
        <v>488</v>
      </c>
      <c r="W91" s="9" t="s">
        <v>487</v>
      </c>
      <c r="X91" s="9" t="s">
        <v>490</v>
      </c>
      <c r="Y91" s="9" t="s">
        <v>487</v>
      </c>
      <c r="Z91" s="9" t="s">
        <v>487</v>
      </c>
      <c r="AA91" s="9" t="s">
        <v>487</v>
      </c>
      <c r="AB91" s="9" t="s">
        <v>487</v>
      </c>
      <c r="AC91" s="9" t="s">
        <v>488</v>
      </c>
      <c r="AD91" s="9" t="s">
        <v>487</v>
      </c>
      <c r="AE91" s="9" t="s">
        <v>493</v>
      </c>
      <c r="AF91" s="9" t="s">
        <v>493</v>
      </c>
      <c r="AG91" s="9" t="s">
        <v>493</v>
      </c>
      <c r="AH91" s="9" t="s">
        <v>493</v>
      </c>
      <c r="AI91">
        <f t="shared" si="15"/>
        <v>21</v>
      </c>
      <c r="AJ91">
        <f t="shared" si="16"/>
        <v>1</v>
      </c>
      <c r="AK91">
        <f t="shared" si="17"/>
        <v>0</v>
      </c>
      <c r="AL91">
        <f t="shared" si="18"/>
        <v>0</v>
      </c>
      <c r="AM91">
        <f t="shared" si="19"/>
        <v>4</v>
      </c>
      <c r="AN91">
        <f t="shared" si="20"/>
        <v>0</v>
      </c>
      <c r="AO91">
        <f t="shared" si="21"/>
        <v>25</v>
      </c>
      <c r="AP91" s="66">
        <f t="shared" si="22"/>
        <v>96.15384615384616</v>
      </c>
    </row>
    <row r="92" spans="1:42">
      <c r="A92" t="s">
        <v>100</v>
      </c>
      <c r="B92" t="str">
        <f>_xlfn.XLOOKUP(A92,Table1[Emp_ID],Table1[Full_Name ])</f>
        <v>Girish</v>
      </c>
      <c r="C92" t="str">
        <f>_xlfn.XLOOKUP(A92,Table1[Emp_ID],Table1[Department])</f>
        <v>Accounts</v>
      </c>
      <c r="D92" s="9" t="s">
        <v>487</v>
      </c>
      <c r="E92" s="9" t="s">
        <v>487</v>
      </c>
      <c r="F92" s="9" t="s">
        <v>487</v>
      </c>
      <c r="G92" s="9" t="s">
        <v>490</v>
      </c>
      <c r="H92" s="9" t="s">
        <v>488</v>
      </c>
      <c r="I92" s="9" t="s">
        <v>487</v>
      </c>
      <c r="J92" s="9" t="s">
        <v>487</v>
      </c>
      <c r="K92" s="9" t="s">
        <v>487</v>
      </c>
      <c r="L92" s="9" t="s">
        <v>487</v>
      </c>
      <c r="M92" s="9" t="s">
        <v>487</v>
      </c>
      <c r="N92" s="9" t="s">
        <v>487</v>
      </c>
      <c r="O92" s="9" t="s">
        <v>488</v>
      </c>
      <c r="P92" s="9" t="s">
        <v>488</v>
      </c>
      <c r="Q92" s="9" t="s">
        <v>490</v>
      </c>
      <c r="R92" s="9" t="s">
        <v>487</v>
      </c>
      <c r="S92" s="9" t="s">
        <v>487</v>
      </c>
      <c r="T92" s="9" t="s">
        <v>487</v>
      </c>
      <c r="U92" s="9" t="s">
        <v>487</v>
      </c>
      <c r="V92" s="9" t="s">
        <v>488</v>
      </c>
      <c r="W92" s="9" t="s">
        <v>487</v>
      </c>
      <c r="X92" s="9" t="s">
        <v>487</v>
      </c>
      <c r="Y92" s="9" t="s">
        <v>487</v>
      </c>
      <c r="Z92" s="9" t="s">
        <v>487</v>
      </c>
      <c r="AA92" s="9" t="s">
        <v>487</v>
      </c>
      <c r="AB92" s="9" t="s">
        <v>487</v>
      </c>
      <c r="AC92" s="9" t="s">
        <v>488</v>
      </c>
      <c r="AD92" s="9" t="s">
        <v>487</v>
      </c>
      <c r="AE92" s="9" t="s">
        <v>487</v>
      </c>
      <c r="AF92" s="9" t="s">
        <v>487</v>
      </c>
      <c r="AG92" s="9" t="s">
        <v>487</v>
      </c>
      <c r="AH92" s="9" t="s">
        <v>487</v>
      </c>
      <c r="AI92">
        <f t="shared" si="15"/>
        <v>24</v>
      </c>
      <c r="AJ92">
        <f t="shared" si="16"/>
        <v>2</v>
      </c>
      <c r="AK92">
        <f t="shared" si="17"/>
        <v>0</v>
      </c>
      <c r="AL92">
        <f t="shared" si="18"/>
        <v>0</v>
      </c>
      <c r="AM92">
        <f t="shared" si="19"/>
        <v>0</v>
      </c>
      <c r="AN92">
        <f t="shared" si="20"/>
        <v>0</v>
      </c>
      <c r="AO92">
        <f t="shared" si="21"/>
        <v>24</v>
      </c>
      <c r="AP92" s="66">
        <f t="shared" si="22"/>
        <v>92.307692307692307</v>
      </c>
    </row>
    <row r="93" spans="1:42">
      <c r="A93" t="s">
        <v>101</v>
      </c>
      <c r="B93" t="str">
        <f>_xlfn.XLOOKUP(A93,Table1[Emp_ID],Table1[Full_Name ])</f>
        <v>Kishore</v>
      </c>
      <c r="C93" t="str">
        <f>_xlfn.XLOOKUP(A93,Table1[Emp_ID],Table1[Department])</f>
        <v>Accounts</v>
      </c>
      <c r="D93" s="9" t="s">
        <v>487</v>
      </c>
      <c r="E93" s="9" t="s">
        <v>487</v>
      </c>
      <c r="F93" s="9" t="s">
        <v>487</v>
      </c>
      <c r="G93" s="9" t="s">
        <v>487</v>
      </c>
      <c r="H93" s="9" t="s">
        <v>488</v>
      </c>
      <c r="I93" s="9" t="s">
        <v>487</v>
      </c>
      <c r="J93" s="9" t="s">
        <v>487</v>
      </c>
      <c r="K93" s="9" t="s">
        <v>487</v>
      </c>
      <c r="L93" s="9" t="s">
        <v>487</v>
      </c>
      <c r="M93" s="9" t="s">
        <v>490</v>
      </c>
      <c r="N93" s="9" t="s">
        <v>487</v>
      </c>
      <c r="O93" s="9" t="s">
        <v>488</v>
      </c>
      <c r="P93" s="9" t="s">
        <v>488</v>
      </c>
      <c r="Q93" s="9" t="s">
        <v>487</v>
      </c>
      <c r="R93" s="9" t="s">
        <v>487</v>
      </c>
      <c r="S93" s="9" t="s">
        <v>487</v>
      </c>
      <c r="T93" s="9" t="s">
        <v>487</v>
      </c>
      <c r="U93" s="9" t="s">
        <v>487</v>
      </c>
      <c r="V93" s="9" t="s">
        <v>488</v>
      </c>
      <c r="W93" s="9" t="s">
        <v>487</v>
      </c>
      <c r="X93" s="9" t="s">
        <v>487</v>
      </c>
      <c r="Y93" s="9" t="s">
        <v>487</v>
      </c>
      <c r="Z93" s="9" t="s">
        <v>487</v>
      </c>
      <c r="AA93" s="9" t="s">
        <v>487</v>
      </c>
      <c r="AB93" s="9" t="s">
        <v>487</v>
      </c>
      <c r="AC93" s="9" t="s">
        <v>488</v>
      </c>
      <c r="AD93" s="9" t="s">
        <v>487</v>
      </c>
      <c r="AE93" s="9" t="s">
        <v>487</v>
      </c>
      <c r="AF93" s="9" t="s">
        <v>487</v>
      </c>
      <c r="AG93" s="9" t="s">
        <v>487</v>
      </c>
      <c r="AH93" s="9" t="s">
        <v>487</v>
      </c>
      <c r="AI93">
        <f t="shared" si="15"/>
        <v>25</v>
      </c>
      <c r="AJ93">
        <f t="shared" si="16"/>
        <v>1</v>
      </c>
      <c r="AK93">
        <f t="shared" si="17"/>
        <v>0</v>
      </c>
      <c r="AL93">
        <f t="shared" si="18"/>
        <v>0</v>
      </c>
      <c r="AM93">
        <f t="shared" si="19"/>
        <v>0</v>
      </c>
      <c r="AN93">
        <f t="shared" si="20"/>
        <v>0</v>
      </c>
      <c r="AO93">
        <f t="shared" si="21"/>
        <v>25</v>
      </c>
      <c r="AP93" s="66">
        <f t="shared" si="22"/>
        <v>96.15384615384616</v>
      </c>
    </row>
    <row r="94" spans="1:42">
      <c r="A94" t="s">
        <v>102</v>
      </c>
      <c r="B94" t="str">
        <f>_xlfn.XLOOKUP(A94,Table1[Emp_ID],Table1[Full_Name ])</f>
        <v>Bharat</v>
      </c>
      <c r="C94" t="str">
        <f>_xlfn.XLOOKUP(A94,Table1[Emp_ID],Table1[Department])</f>
        <v>HR</v>
      </c>
      <c r="D94" s="9" t="s">
        <v>487</v>
      </c>
      <c r="E94" s="9" t="s">
        <v>487</v>
      </c>
      <c r="F94" s="9" t="s">
        <v>487</v>
      </c>
      <c r="G94" s="9" t="s">
        <v>487</v>
      </c>
      <c r="H94" s="9" t="s">
        <v>488</v>
      </c>
      <c r="I94" s="9" t="s">
        <v>487</v>
      </c>
      <c r="J94" s="9" t="s">
        <v>487</v>
      </c>
      <c r="K94" s="9" t="s">
        <v>487</v>
      </c>
      <c r="L94" s="9" t="s">
        <v>487</v>
      </c>
      <c r="M94" s="9" t="s">
        <v>487</v>
      </c>
      <c r="N94" s="9" t="s">
        <v>487</v>
      </c>
      <c r="O94" s="9" t="s">
        <v>488</v>
      </c>
      <c r="P94" s="9" t="s">
        <v>488</v>
      </c>
      <c r="Q94" s="9" t="s">
        <v>487</v>
      </c>
      <c r="R94" s="9" t="s">
        <v>489</v>
      </c>
      <c r="S94" s="9" t="s">
        <v>489</v>
      </c>
      <c r="T94" s="9" t="s">
        <v>487</v>
      </c>
      <c r="U94" s="9" t="s">
        <v>487</v>
      </c>
      <c r="V94" s="9" t="s">
        <v>488</v>
      </c>
      <c r="W94" s="9" t="s">
        <v>489</v>
      </c>
      <c r="X94" s="9" t="s">
        <v>489</v>
      </c>
      <c r="Y94" s="9" t="s">
        <v>487</v>
      </c>
      <c r="Z94" s="9" t="s">
        <v>487</v>
      </c>
      <c r="AA94" s="9" t="s">
        <v>487</v>
      </c>
      <c r="AB94" s="9" t="s">
        <v>490</v>
      </c>
      <c r="AC94" s="9" t="s">
        <v>488</v>
      </c>
      <c r="AD94" s="9" t="s">
        <v>487</v>
      </c>
      <c r="AE94" s="9" t="s">
        <v>487</v>
      </c>
      <c r="AF94" s="9" t="s">
        <v>487</v>
      </c>
      <c r="AG94" s="9" t="s">
        <v>487</v>
      </c>
      <c r="AH94" s="9" t="s">
        <v>487</v>
      </c>
      <c r="AI94">
        <f t="shared" si="15"/>
        <v>21</v>
      </c>
      <c r="AJ94">
        <f t="shared" si="16"/>
        <v>1</v>
      </c>
      <c r="AK94">
        <f t="shared" si="17"/>
        <v>4</v>
      </c>
      <c r="AL94">
        <f t="shared" si="18"/>
        <v>0</v>
      </c>
      <c r="AM94">
        <f t="shared" si="19"/>
        <v>0</v>
      </c>
      <c r="AN94">
        <f t="shared" si="20"/>
        <v>0</v>
      </c>
      <c r="AO94">
        <f t="shared" si="21"/>
        <v>25</v>
      </c>
      <c r="AP94" s="66">
        <f t="shared" si="22"/>
        <v>96.15384615384616</v>
      </c>
    </row>
    <row r="95" spans="1:42">
      <c r="A95" t="s">
        <v>103</v>
      </c>
      <c r="B95" t="str">
        <f>_xlfn.XLOOKUP(A95,Table1[Emp_ID],Table1[Full_Name ])</f>
        <v>Mohan</v>
      </c>
      <c r="C95" t="str">
        <f>_xlfn.XLOOKUP(A95,Table1[Emp_ID],Table1[Department])</f>
        <v>HR</v>
      </c>
      <c r="D95" s="9" t="s">
        <v>487</v>
      </c>
      <c r="E95" s="9" t="s">
        <v>490</v>
      </c>
      <c r="F95" s="9" t="s">
        <v>487</v>
      </c>
      <c r="G95" s="9" t="s">
        <v>487</v>
      </c>
      <c r="H95" s="9" t="s">
        <v>488</v>
      </c>
      <c r="I95" s="9" t="s">
        <v>487</v>
      </c>
      <c r="J95" s="9" t="s">
        <v>487</v>
      </c>
      <c r="K95" s="9" t="s">
        <v>487</v>
      </c>
      <c r="L95" s="9" t="s">
        <v>487</v>
      </c>
      <c r="M95" s="9" t="s">
        <v>487</v>
      </c>
      <c r="N95" s="9" t="s">
        <v>487</v>
      </c>
      <c r="O95" s="9" t="s">
        <v>488</v>
      </c>
      <c r="P95" s="9" t="s">
        <v>488</v>
      </c>
      <c r="Q95" s="9" t="s">
        <v>487</v>
      </c>
      <c r="R95" s="9" t="s">
        <v>487</v>
      </c>
      <c r="S95" s="9" t="s">
        <v>487</v>
      </c>
      <c r="T95" s="9" t="s">
        <v>487</v>
      </c>
      <c r="U95" s="9" t="s">
        <v>487</v>
      </c>
      <c r="V95" s="9" t="s">
        <v>488</v>
      </c>
      <c r="W95" s="9" t="s">
        <v>487</v>
      </c>
      <c r="X95" s="9" t="s">
        <v>487</v>
      </c>
      <c r="Y95" s="9" t="s">
        <v>487</v>
      </c>
      <c r="Z95" s="9" t="s">
        <v>487</v>
      </c>
      <c r="AA95" s="9" t="s">
        <v>487</v>
      </c>
      <c r="AB95" s="9" t="s">
        <v>487</v>
      </c>
      <c r="AC95" s="9" t="s">
        <v>488</v>
      </c>
      <c r="AD95" s="9" t="s">
        <v>487</v>
      </c>
      <c r="AE95" s="9" t="s">
        <v>487</v>
      </c>
      <c r="AF95" s="9" t="s">
        <v>487</v>
      </c>
      <c r="AG95" s="9" t="s">
        <v>491</v>
      </c>
      <c r="AH95" s="9" t="s">
        <v>491</v>
      </c>
      <c r="AI95">
        <f t="shared" si="15"/>
        <v>23</v>
      </c>
      <c r="AJ95">
        <f t="shared" si="16"/>
        <v>1</v>
      </c>
      <c r="AK95">
        <f t="shared" si="17"/>
        <v>0</v>
      </c>
      <c r="AL95">
        <f t="shared" si="18"/>
        <v>2</v>
      </c>
      <c r="AM95">
        <f t="shared" si="19"/>
        <v>0</v>
      </c>
      <c r="AN95">
        <f t="shared" si="20"/>
        <v>0</v>
      </c>
      <c r="AO95">
        <f t="shared" si="21"/>
        <v>25</v>
      </c>
      <c r="AP95" s="66">
        <f t="shared" si="22"/>
        <v>96.15384615384616</v>
      </c>
    </row>
    <row r="96" spans="1:42">
      <c r="A96" t="s">
        <v>104</v>
      </c>
      <c r="B96" t="str">
        <f>_xlfn.XLOOKUP(A96,Table1[Emp_ID],Table1[Full_Name ])</f>
        <v>Shyam</v>
      </c>
      <c r="C96" t="str">
        <f>_xlfn.XLOOKUP(A96,Table1[Emp_ID],Table1[Department])</f>
        <v>HR</v>
      </c>
      <c r="D96" s="9" t="s">
        <v>487</v>
      </c>
      <c r="E96" s="9" t="s">
        <v>487</v>
      </c>
      <c r="F96" s="9" t="s">
        <v>487</v>
      </c>
      <c r="G96" s="9" t="s">
        <v>487</v>
      </c>
      <c r="H96" s="9" t="s">
        <v>488</v>
      </c>
      <c r="I96" s="9" t="s">
        <v>487</v>
      </c>
      <c r="J96" s="9" t="s">
        <v>487</v>
      </c>
      <c r="K96" s="9" t="s">
        <v>490</v>
      </c>
      <c r="L96" s="9" t="s">
        <v>487</v>
      </c>
      <c r="M96" s="9" t="s">
        <v>487</v>
      </c>
      <c r="N96" s="9" t="s">
        <v>487</v>
      </c>
      <c r="O96" s="9" t="s">
        <v>488</v>
      </c>
      <c r="P96" s="9" t="s">
        <v>488</v>
      </c>
      <c r="Q96" s="9" t="s">
        <v>490</v>
      </c>
      <c r="R96" s="9" t="s">
        <v>487</v>
      </c>
      <c r="S96" s="9" t="s">
        <v>487</v>
      </c>
      <c r="T96" s="9" t="s">
        <v>487</v>
      </c>
      <c r="U96" s="9" t="s">
        <v>487</v>
      </c>
      <c r="V96" s="9" t="s">
        <v>488</v>
      </c>
      <c r="W96" s="9" t="s">
        <v>487</v>
      </c>
      <c r="X96" s="9" t="s">
        <v>487</v>
      </c>
      <c r="Y96" s="9" t="s">
        <v>487</v>
      </c>
      <c r="Z96" s="9" t="s">
        <v>487</v>
      </c>
      <c r="AA96" s="9" t="s">
        <v>487</v>
      </c>
      <c r="AB96" s="9" t="s">
        <v>487</v>
      </c>
      <c r="AC96" s="9" t="s">
        <v>488</v>
      </c>
      <c r="AD96" s="9" t="s">
        <v>487</v>
      </c>
      <c r="AE96" s="9" t="s">
        <v>487</v>
      </c>
      <c r="AF96" s="9" t="s">
        <v>487</v>
      </c>
      <c r="AG96" s="9" t="s">
        <v>487</v>
      </c>
      <c r="AH96" s="9" t="s">
        <v>487</v>
      </c>
      <c r="AI96">
        <f t="shared" si="15"/>
        <v>24</v>
      </c>
      <c r="AJ96">
        <f t="shared" si="16"/>
        <v>2</v>
      </c>
      <c r="AK96">
        <f t="shared" si="17"/>
        <v>0</v>
      </c>
      <c r="AL96">
        <f t="shared" si="18"/>
        <v>0</v>
      </c>
      <c r="AM96">
        <f t="shared" si="19"/>
        <v>0</v>
      </c>
      <c r="AN96">
        <f t="shared" si="20"/>
        <v>0</v>
      </c>
      <c r="AO96">
        <f t="shared" si="21"/>
        <v>24</v>
      </c>
      <c r="AP96" s="66">
        <f t="shared" si="22"/>
        <v>92.307692307692307</v>
      </c>
    </row>
    <row r="97" spans="1:42">
      <c r="A97" t="s">
        <v>105</v>
      </c>
      <c r="B97" t="str">
        <f>_xlfn.XLOOKUP(A97,Table1[Emp_ID],Table1[Full_Name ])</f>
        <v>Ramesh</v>
      </c>
      <c r="C97" t="str">
        <f>_xlfn.XLOOKUP(A97,Table1[Emp_ID],Table1[Department])</f>
        <v>HR</v>
      </c>
      <c r="D97" s="9" t="s">
        <v>487</v>
      </c>
      <c r="E97" s="9" t="s">
        <v>487</v>
      </c>
      <c r="F97" s="9" t="s">
        <v>487</v>
      </c>
      <c r="G97" s="9" t="s">
        <v>487</v>
      </c>
      <c r="H97" s="9" t="s">
        <v>488</v>
      </c>
      <c r="I97" s="9" t="s">
        <v>487</v>
      </c>
      <c r="J97" s="9" t="s">
        <v>487</v>
      </c>
      <c r="K97" s="9" t="s">
        <v>487</v>
      </c>
      <c r="L97" s="9" t="s">
        <v>487</v>
      </c>
      <c r="M97" s="9" t="s">
        <v>487</v>
      </c>
      <c r="N97" s="9" t="s">
        <v>487</v>
      </c>
      <c r="O97" s="9" t="s">
        <v>488</v>
      </c>
      <c r="P97" s="9" t="s">
        <v>488</v>
      </c>
      <c r="Q97" s="9" t="s">
        <v>487</v>
      </c>
      <c r="R97" s="9" t="s">
        <v>487</v>
      </c>
      <c r="S97" s="9" t="s">
        <v>487</v>
      </c>
      <c r="T97" s="9" t="s">
        <v>487</v>
      </c>
      <c r="U97" s="9" t="s">
        <v>487</v>
      </c>
      <c r="V97" s="9" t="s">
        <v>488</v>
      </c>
      <c r="W97" s="9" t="s">
        <v>487</v>
      </c>
      <c r="X97" s="9" t="s">
        <v>487</v>
      </c>
      <c r="Y97" s="9" t="s">
        <v>487</v>
      </c>
      <c r="Z97" s="9" t="s">
        <v>487</v>
      </c>
      <c r="AA97" s="9" t="s">
        <v>487</v>
      </c>
      <c r="AB97" s="9" t="s">
        <v>487</v>
      </c>
      <c r="AC97" s="9" t="s">
        <v>488</v>
      </c>
      <c r="AD97" s="9" t="s">
        <v>487</v>
      </c>
      <c r="AE97" s="9" t="s">
        <v>487</v>
      </c>
      <c r="AF97" s="9" t="s">
        <v>487</v>
      </c>
      <c r="AG97" s="9" t="s">
        <v>487</v>
      </c>
      <c r="AH97" s="9" t="s">
        <v>487</v>
      </c>
      <c r="AI97">
        <f t="shared" si="15"/>
        <v>26</v>
      </c>
      <c r="AJ97">
        <f t="shared" si="16"/>
        <v>0</v>
      </c>
      <c r="AK97">
        <f t="shared" si="17"/>
        <v>0</v>
      </c>
      <c r="AL97">
        <f t="shared" si="18"/>
        <v>0</v>
      </c>
      <c r="AM97">
        <f t="shared" si="19"/>
        <v>0</v>
      </c>
      <c r="AN97">
        <f t="shared" si="20"/>
        <v>0</v>
      </c>
      <c r="AO97">
        <f t="shared" si="21"/>
        <v>26</v>
      </c>
      <c r="AP97" s="66">
        <f t="shared" si="22"/>
        <v>100</v>
      </c>
    </row>
    <row r="98" spans="1:42">
      <c r="A98" t="s">
        <v>106</v>
      </c>
      <c r="B98" t="str">
        <f>_xlfn.XLOOKUP(A98,Table1[Emp_ID],Table1[Full_Name ])</f>
        <v>Govind</v>
      </c>
      <c r="C98" t="str">
        <f>_xlfn.XLOOKUP(A98,Table1[Emp_ID],Table1[Department])</f>
        <v>HR</v>
      </c>
      <c r="D98" s="9" t="s">
        <v>487</v>
      </c>
      <c r="E98" s="9" t="s">
        <v>487</v>
      </c>
      <c r="F98" s="9" t="s">
        <v>487</v>
      </c>
      <c r="G98" s="9" t="s">
        <v>487</v>
      </c>
      <c r="H98" s="9" t="s">
        <v>488</v>
      </c>
      <c r="I98" s="9" t="s">
        <v>487</v>
      </c>
      <c r="J98" s="9" t="s">
        <v>487</v>
      </c>
      <c r="K98" s="9" t="s">
        <v>487</v>
      </c>
      <c r="L98" s="9" t="s">
        <v>487</v>
      </c>
      <c r="M98" s="9" t="s">
        <v>487</v>
      </c>
      <c r="N98" s="9" t="s">
        <v>487</v>
      </c>
      <c r="O98" s="9" t="s">
        <v>488</v>
      </c>
      <c r="P98" s="9" t="s">
        <v>488</v>
      </c>
      <c r="Q98" s="9" t="s">
        <v>487</v>
      </c>
      <c r="R98" s="9" t="s">
        <v>487</v>
      </c>
      <c r="S98" s="9" t="s">
        <v>487</v>
      </c>
      <c r="T98" s="9" t="s">
        <v>487</v>
      </c>
      <c r="U98" s="9" t="s">
        <v>487</v>
      </c>
      <c r="V98" s="9" t="s">
        <v>488</v>
      </c>
      <c r="W98" s="9" t="s">
        <v>487</v>
      </c>
      <c r="X98" s="9" t="s">
        <v>487</v>
      </c>
      <c r="Y98" s="9" t="s">
        <v>487</v>
      </c>
      <c r="Z98" s="9" t="s">
        <v>491</v>
      </c>
      <c r="AA98" s="9" t="s">
        <v>491</v>
      </c>
      <c r="AB98" s="9" t="s">
        <v>487</v>
      </c>
      <c r="AC98" s="9" t="s">
        <v>488</v>
      </c>
      <c r="AD98" s="9" t="s">
        <v>487</v>
      </c>
      <c r="AE98" s="9" t="s">
        <v>487</v>
      </c>
      <c r="AF98" s="9" t="s">
        <v>487</v>
      </c>
      <c r="AG98" s="9" t="s">
        <v>487</v>
      </c>
      <c r="AH98" s="9" t="s">
        <v>487</v>
      </c>
      <c r="AI98">
        <f t="shared" ref="AI98:AI107" si="23">COUNTIF(D98:AH98,"P")</f>
        <v>24</v>
      </c>
      <c r="AJ98">
        <f t="shared" ref="AJ98:AJ107" si="24">COUNTIF(D98:AH98,"A")</f>
        <v>0</v>
      </c>
      <c r="AK98">
        <f t="shared" ref="AK98:AK107" si="25">COUNTIF(D98:AH98,"CL")</f>
        <v>0</v>
      </c>
      <c r="AL98">
        <f t="shared" ref="AL98:AL107" si="26">COUNTIF(D98:AH98,"SL")</f>
        <v>2</v>
      </c>
      <c r="AM98">
        <f t="shared" ref="AM98:AM107" si="27">COUNTIF(D98:AH98,"EL")</f>
        <v>0</v>
      </c>
      <c r="AN98">
        <f t="shared" ref="AN98:AN107" si="28">COUNTIF(D98:AH98,"L")</f>
        <v>0</v>
      </c>
      <c r="AO98">
        <f t="shared" ref="AO98:AO107" si="29">COUNTIF(D98:AH98,"P")+COUNTIF(D98:AH98,"CL")+COUNTIF(D98:AH98,"SL")+COUNTIF(D98:AH98,"EL")</f>
        <v>26</v>
      </c>
      <c r="AP98" s="66">
        <f t="shared" si="22"/>
        <v>100</v>
      </c>
    </row>
    <row r="99" spans="1:42">
      <c r="A99" t="s">
        <v>107</v>
      </c>
      <c r="B99" t="str">
        <f>_xlfn.XLOOKUP(A99,Table1[Emp_ID],Table1[Full_Name ])</f>
        <v>Balram</v>
      </c>
      <c r="C99" t="str">
        <f>_xlfn.XLOOKUP(A99,Table1[Emp_ID],Table1[Department])</f>
        <v>HR</v>
      </c>
      <c r="D99" s="9" t="s">
        <v>487</v>
      </c>
      <c r="E99" s="9" t="s">
        <v>487</v>
      </c>
      <c r="F99" s="9" t="s">
        <v>487</v>
      </c>
      <c r="G99" s="9" t="s">
        <v>487</v>
      </c>
      <c r="H99" s="9" t="s">
        <v>488</v>
      </c>
      <c r="I99" s="9" t="s">
        <v>487</v>
      </c>
      <c r="J99" s="9" t="s">
        <v>487</v>
      </c>
      <c r="K99" s="9" t="s">
        <v>487</v>
      </c>
      <c r="L99" s="9" t="s">
        <v>487</v>
      </c>
      <c r="M99" s="9" t="s">
        <v>487</v>
      </c>
      <c r="N99" s="9" t="s">
        <v>487</v>
      </c>
      <c r="O99" s="9" t="s">
        <v>488</v>
      </c>
      <c r="P99" s="9" t="s">
        <v>488</v>
      </c>
      <c r="Q99" s="9" t="s">
        <v>487</v>
      </c>
      <c r="R99" s="9" t="s">
        <v>487</v>
      </c>
      <c r="S99" s="9" t="s">
        <v>487</v>
      </c>
      <c r="T99" s="9" t="s">
        <v>487</v>
      </c>
      <c r="U99" s="9" t="s">
        <v>487</v>
      </c>
      <c r="V99" s="9" t="s">
        <v>488</v>
      </c>
      <c r="W99" s="9" t="s">
        <v>487</v>
      </c>
      <c r="X99" s="9" t="s">
        <v>487</v>
      </c>
      <c r="Y99" s="9" t="s">
        <v>487</v>
      </c>
      <c r="Z99" s="9" t="s">
        <v>487</v>
      </c>
      <c r="AA99" s="9" t="s">
        <v>487</v>
      </c>
      <c r="AB99" s="9" t="s">
        <v>487</v>
      </c>
      <c r="AC99" s="9" t="s">
        <v>488</v>
      </c>
      <c r="AD99" s="9" t="s">
        <v>487</v>
      </c>
      <c r="AE99" s="9" t="s">
        <v>487</v>
      </c>
      <c r="AF99" s="9" t="s">
        <v>487</v>
      </c>
      <c r="AG99" s="9" t="s">
        <v>487</v>
      </c>
      <c r="AH99" s="9" t="s">
        <v>487</v>
      </c>
      <c r="AI99">
        <f t="shared" si="23"/>
        <v>26</v>
      </c>
      <c r="AJ99">
        <f t="shared" si="24"/>
        <v>0</v>
      </c>
      <c r="AK99">
        <f t="shared" si="25"/>
        <v>0</v>
      </c>
      <c r="AL99">
        <f t="shared" si="26"/>
        <v>0</v>
      </c>
      <c r="AM99">
        <f t="shared" si="27"/>
        <v>0</v>
      </c>
      <c r="AN99">
        <f t="shared" si="28"/>
        <v>0</v>
      </c>
      <c r="AO99">
        <f t="shared" si="29"/>
        <v>26</v>
      </c>
      <c r="AP99" s="66">
        <f t="shared" si="22"/>
        <v>100</v>
      </c>
    </row>
    <row r="100" spans="1:42">
      <c r="A100" t="s">
        <v>108</v>
      </c>
      <c r="B100" t="str">
        <f>_xlfn.XLOOKUP(A100,Table1[Emp_ID],Table1[Full_Name ])</f>
        <v>Keshav</v>
      </c>
      <c r="C100" t="str">
        <f>_xlfn.XLOOKUP(A100,Table1[Emp_ID],Table1[Department])</f>
        <v>IT</v>
      </c>
      <c r="D100" s="9" t="s">
        <v>487</v>
      </c>
      <c r="E100" s="9" t="s">
        <v>487</v>
      </c>
      <c r="F100" s="9" t="s">
        <v>487</v>
      </c>
      <c r="G100" s="9" t="s">
        <v>487</v>
      </c>
      <c r="H100" s="9" t="s">
        <v>488</v>
      </c>
      <c r="I100" s="9" t="s">
        <v>487</v>
      </c>
      <c r="J100" s="9" t="s">
        <v>487</v>
      </c>
      <c r="K100" s="9" t="s">
        <v>487</v>
      </c>
      <c r="L100" s="9" t="s">
        <v>487</v>
      </c>
      <c r="M100" s="9" t="s">
        <v>487</v>
      </c>
      <c r="N100" s="9" t="s">
        <v>487</v>
      </c>
      <c r="O100" s="9" t="s">
        <v>488</v>
      </c>
      <c r="P100" s="9" t="s">
        <v>488</v>
      </c>
      <c r="Q100" s="9" t="s">
        <v>491</v>
      </c>
      <c r="R100" s="9" t="s">
        <v>487</v>
      </c>
      <c r="S100" s="9" t="s">
        <v>487</v>
      </c>
      <c r="T100" s="9" t="s">
        <v>487</v>
      </c>
      <c r="U100" s="9" t="s">
        <v>487</v>
      </c>
      <c r="V100" s="9" t="s">
        <v>488</v>
      </c>
      <c r="W100" s="9" t="s">
        <v>487</v>
      </c>
      <c r="X100" s="9" t="s">
        <v>487</v>
      </c>
      <c r="Y100" s="9" t="s">
        <v>487</v>
      </c>
      <c r="Z100" s="9" t="s">
        <v>487</v>
      </c>
      <c r="AA100" s="9" t="s">
        <v>487</v>
      </c>
      <c r="AB100" s="9" t="s">
        <v>487</v>
      </c>
      <c r="AC100" s="9" t="s">
        <v>488</v>
      </c>
      <c r="AD100" s="9" t="s">
        <v>490</v>
      </c>
      <c r="AE100" s="9" t="s">
        <v>487</v>
      </c>
      <c r="AF100" s="9" t="s">
        <v>487</v>
      </c>
      <c r="AG100" s="9" t="s">
        <v>487</v>
      </c>
      <c r="AH100" s="9" t="s">
        <v>487</v>
      </c>
      <c r="AI100">
        <f t="shared" si="23"/>
        <v>24</v>
      </c>
      <c r="AJ100">
        <f t="shared" si="24"/>
        <v>1</v>
      </c>
      <c r="AK100">
        <f t="shared" si="25"/>
        <v>0</v>
      </c>
      <c r="AL100">
        <f t="shared" si="26"/>
        <v>1</v>
      </c>
      <c r="AM100">
        <f t="shared" si="27"/>
        <v>0</v>
      </c>
      <c r="AN100">
        <f t="shared" si="28"/>
        <v>0</v>
      </c>
      <c r="AO100">
        <f t="shared" si="29"/>
        <v>25</v>
      </c>
      <c r="AP100" s="66">
        <f t="shared" si="22"/>
        <v>96.15384615384616</v>
      </c>
    </row>
    <row r="101" spans="1:42">
      <c r="A101" t="s">
        <v>109</v>
      </c>
      <c r="B101" t="str">
        <f>_xlfn.XLOOKUP(A101,Table1[Emp_ID],Table1[Full_Name ])</f>
        <v>Lalit</v>
      </c>
      <c r="C101" t="str">
        <f>_xlfn.XLOOKUP(A101,Table1[Emp_ID],Table1[Department])</f>
        <v>IT</v>
      </c>
      <c r="D101" s="9" t="s">
        <v>487</v>
      </c>
      <c r="E101" s="9" t="s">
        <v>487</v>
      </c>
      <c r="F101" s="9" t="s">
        <v>487</v>
      </c>
      <c r="G101" s="9" t="s">
        <v>487</v>
      </c>
      <c r="H101" s="9" t="s">
        <v>488</v>
      </c>
      <c r="I101" s="9" t="s">
        <v>487</v>
      </c>
      <c r="J101" s="9" t="s">
        <v>487</v>
      </c>
      <c r="K101" s="9" t="s">
        <v>487</v>
      </c>
      <c r="L101" s="9" t="s">
        <v>487</v>
      </c>
      <c r="M101" s="9" t="s">
        <v>487</v>
      </c>
      <c r="N101" s="9" t="s">
        <v>487</v>
      </c>
      <c r="O101" s="9" t="s">
        <v>488</v>
      </c>
      <c r="P101" s="9" t="s">
        <v>488</v>
      </c>
      <c r="Q101" s="9" t="s">
        <v>490</v>
      </c>
      <c r="R101" s="9" t="s">
        <v>487</v>
      </c>
      <c r="S101" s="9" t="s">
        <v>487</v>
      </c>
      <c r="T101" s="9" t="s">
        <v>487</v>
      </c>
      <c r="U101" s="9" t="s">
        <v>487</v>
      </c>
      <c r="V101" s="9" t="s">
        <v>488</v>
      </c>
      <c r="W101" s="9" t="s">
        <v>487</v>
      </c>
      <c r="X101" s="9" t="s">
        <v>487</v>
      </c>
      <c r="Y101" s="9" t="s">
        <v>487</v>
      </c>
      <c r="Z101" s="9" t="s">
        <v>487</v>
      </c>
      <c r="AA101" s="9" t="s">
        <v>487</v>
      </c>
      <c r="AB101" s="9" t="s">
        <v>487</v>
      </c>
      <c r="AC101" s="9" t="s">
        <v>488</v>
      </c>
      <c r="AD101" s="9" t="s">
        <v>487</v>
      </c>
      <c r="AE101" s="9" t="s">
        <v>487</v>
      </c>
      <c r="AF101" s="9" t="s">
        <v>487</v>
      </c>
      <c r="AG101" s="9" t="s">
        <v>487</v>
      </c>
      <c r="AH101" s="9" t="s">
        <v>490</v>
      </c>
      <c r="AI101">
        <f t="shared" si="23"/>
        <v>24</v>
      </c>
      <c r="AJ101">
        <f t="shared" si="24"/>
        <v>2</v>
      </c>
      <c r="AK101">
        <f t="shared" si="25"/>
        <v>0</v>
      </c>
      <c r="AL101">
        <f t="shared" si="26"/>
        <v>0</v>
      </c>
      <c r="AM101">
        <f t="shared" si="27"/>
        <v>0</v>
      </c>
      <c r="AN101">
        <f t="shared" si="28"/>
        <v>0</v>
      </c>
      <c r="AO101">
        <f t="shared" si="29"/>
        <v>24</v>
      </c>
      <c r="AP101" s="66">
        <f t="shared" si="22"/>
        <v>92.307692307692307</v>
      </c>
    </row>
    <row r="102" spans="1:42">
      <c r="A102" t="s">
        <v>110</v>
      </c>
      <c r="B102" t="str">
        <f>_xlfn.XLOOKUP(A102,Table1[Emp_ID],Table1[Full_Name ])</f>
        <v>Manoj</v>
      </c>
      <c r="C102" t="str">
        <f>_xlfn.XLOOKUP(A102,Table1[Emp_ID],Table1[Department])</f>
        <v>IT</v>
      </c>
      <c r="D102" s="9" t="s">
        <v>487</v>
      </c>
      <c r="E102" s="9" t="s">
        <v>487</v>
      </c>
      <c r="F102" s="9" t="s">
        <v>487</v>
      </c>
      <c r="G102" s="9" t="s">
        <v>487</v>
      </c>
      <c r="H102" s="9" t="s">
        <v>488</v>
      </c>
      <c r="I102" s="9" t="s">
        <v>487</v>
      </c>
      <c r="J102" s="9" t="s">
        <v>487</v>
      </c>
      <c r="K102" s="9" t="s">
        <v>487</v>
      </c>
      <c r="L102" s="9" t="s">
        <v>487</v>
      </c>
      <c r="M102" s="9" t="s">
        <v>487</v>
      </c>
      <c r="N102" s="9" t="s">
        <v>487</v>
      </c>
      <c r="O102" s="9" t="s">
        <v>488</v>
      </c>
      <c r="P102" s="9" t="s">
        <v>488</v>
      </c>
      <c r="Q102" s="9" t="s">
        <v>487</v>
      </c>
      <c r="R102" s="9" t="s">
        <v>487</v>
      </c>
      <c r="S102" s="9" t="s">
        <v>487</v>
      </c>
      <c r="T102" s="9" t="s">
        <v>487</v>
      </c>
      <c r="U102" s="9" t="s">
        <v>487</v>
      </c>
      <c r="V102" s="9" t="s">
        <v>488</v>
      </c>
      <c r="W102" s="9" t="s">
        <v>487</v>
      </c>
      <c r="X102" s="9" t="s">
        <v>487</v>
      </c>
      <c r="Y102" s="9" t="s">
        <v>487</v>
      </c>
      <c r="Z102" s="9" t="s">
        <v>487</v>
      </c>
      <c r="AA102" s="9" t="s">
        <v>487</v>
      </c>
      <c r="AB102" s="9" t="s">
        <v>487</v>
      </c>
      <c r="AC102" s="9" t="s">
        <v>488</v>
      </c>
      <c r="AD102" s="9" t="s">
        <v>487</v>
      </c>
      <c r="AE102" s="9" t="s">
        <v>487</v>
      </c>
      <c r="AF102" s="9" t="s">
        <v>487</v>
      </c>
      <c r="AG102" s="9" t="s">
        <v>487</v>
      </c>
      <c r="AH102" s="9" t="s">
        <v>487</v>
      </c>
      <c r="AI102">
        <f t="shared" si="23"/>
        <v>26</v>
      </c>
      <c r="AJ102">
        <f t="shared" si="24"/>
        <v>0</v>
      </c>
      <c r="AK102">
        <f t="shared" si="25"/>
        <v>0</v>
      </c>
      <c r="AL102">
        <f t="shared" si="26"/>
        <v>0</v>
      </c>
      <c r="AM102">
        <f t="shared" si="27"/>
        <v>0</v>
      </c>
      <c r="AN102">
        <f t="shared" si="28"/>
        <v>0</v>
      </c>
      <c r="AO102">
        <f t="shared" si="29"/>
        <v>26</v>
      </c>
      <c r="AP102" s="66">
        <f t="shared" si="22"/>
        <v>100</v>
      </c>
    </row>
    <row r="103" spans="1:42">
      <c r="A103" t="s">
        <v>111</v>
      </c>
      <c r="B103" t="str">
        <f>_xlfn.XLOOKUP(A103,Table1[Emp_ID],Table1[Full_Name ])</f>
        <v>Ashok</v>
      </c>
      <c r="C103" t="str">
        <f>_xlfn.XLOOKUP(A103,Table1[Emp_ID],Table1[Department])</f>
        <v>IT</v>
      </c>
      <c r="D103" s="9" t="s">
        <v>487</v>
      </c>
      <c r="E103" s="9" t="s">
        <v>487</v>
      </c>
      <c r="F103" s="9" t="s">
        <v>487</v>
      </c>
      <c r="G103" s="9" t="s">
        <v>487</v>
      </c>
      <c r="H103" s="9" t="s">
        <v>488</v>
      </c>
      <c r="I103" s="9" t="s">
        <v>487</v>
      </c>
      <c r="J103" s="9" t="s">
        <v>487</v>
      </c>
      <c r="K103" s="9" t="s">
        <v>487</v>
      </c>
      <c r="L103" s="9" t="s">
        <v>489</v>
      </c>
      <c r="M103" s="9" t="s">
        <v>489</v>
      </c>
      <c r="N103" s="9" t="s">
        <v>487</v>
      </c>
      <c r="O103" s="9" t="s">
        <v>488</v>
      </c>
      <c r="P103" s="9" t="s">
        <v>488</v>
      </c>
      <c r="Q103" s="9" t="s">
        <v>487</v>
      </c>
      <c r="R103" s="9" t="s">
        <v>487</v>
      </c>
      <c r="S103" s="9" t="s">
        <v>487</v>
      </c>
      <c r="T103" s="9" t="s">
        <v>487</v>
      </c>
      <c r="U103" s="9" t="s">
        <v>487</v>
      </c>
      <c r="V103" s="9" t="s">
        <v>488</v>
      </c>
      <c r="W103" s="9" t="s">
        <v>487</v>
      </c>
      <c r="X103" s="9" t="s">
        <v>487</v>
      </c>
      <c r="Y103" s="9" t="s">
        <v>487</v>
      </c>
      <c r="Z103" s="9" t="s">
        <v>487</v>
      </c>
      <c r="AA103" s="9" t="s">
        <v>487</v>
      </c>
      <c r="AB103" s="9" t="s">
        <v>487</v>
      </c>
      <c r="AC103" s="9" t="s">
        <v>488</v>
      </c>
      <c r="AD103" s="9" t="s">
        <v>487</v>
      </c>
      <c r="AE103" s="9" t="s">
        <v>487</v>
      </c>
      <c r="AF103" s="9" t="s">
        <v>487</v>
      </c>
      <c r="AG103" s="9" t="s">
        <v>487</v>
      </c>
      <c r="AH103" s="9" t="s">
        <v>487</v>
      </c>
      <c r="AI103">
        <f t="shared" si="23"/>
        <v>24</v>
      </c>
      <c r="AJ103">
        <f t="shared" si="24"/>
        <v>0</v>
      </c>
      <c r="AK103">
        <f t="shared" si="25"/>
        <v>2</v>
      </c>
      <c r="AL103">
        <f t="shared" si="26"/>
        <v>0</v>
      </c>
      <c r="AM103">
        <f t="shared" si="27"/>
        <v>0</v>
      </c>
      <c r="AN103">
        <f t="shared" si="28"/>
        <v>0</v>
      </c>
      <c r="AO103">
        <f t="shared" si="29"/>
        <v>26</v>
      </c>
      <c r="AP103" s="66">
        <f t="shared" si="22"/>
        <v>100</v>
      </c>
    </row>
    <row r="104" spans="1:42">
      <c r="A104" t="s">
        <v>112</v>
      </c>
      <c r="B104" t="str">
        <f>_xlfn.XLOOKUP(A104,Table1[Emp_ID],Table1[Full_Name ])</f>
        <v>Inder</v>
      </c>
      <c r="C104" t="str">
        <f>_xlfn.XLOOKUP(A104,Table1[Emp_ID],Table1[Department])</f>
        <v>IT</v>
      </c>
      <c r="D104" s="9" t="s">
        <v>487</v>
      </c>
      <c r="E104" s="9" t="s">
        <v>487</v>
      </c>
      <c r="F104" s="9" t="s">
        <v>487</v>
      </c>
      <c r="G104" s="9" t="s">
        <v>487</v>
      </c>
      <c r="H104" s="9" t="s">
        <v>488</v>
      </c>
      <c r="I104" s="9" t="s">
        <v>487</v>
      </c>
      <c r="J104" s="9" t="s">
        <v>487</v>
      </c>
      <c r="K104" s="9" t="s">
        <v>487</v>
      </c>
      <c r="L104" s="9" t="s">
        <v>489</v>
      </c>
      <c r="M104" s="9" t="s">
        <v>489</v>
      </c>
      <c r="N104" s="9" t="s">
        <v>487</v>
      </c>
      <c r="O104" s="9" t="s">
        <v>488</v>
      </c>
      <c r="P104" s="9" t="s">
        <v>488</v>
      </c>
      <c r="Q104" s="9" t="s">
        <v>487</v>
      </c>
      <c r="R104" s="9" t="s">
        <v>487</v>
      </c>
      <c r="S104" s="9" t="s">
        <v>487</v>
      </c>
      <c r="T104" s="9" t="s">
        <v>487</v>
      </c>
      <c r="U104" s="9" t="s">
        <v>487</v>
      </c>
      <c r="V104" s="9" t="s">
        <v>488</v>
      </c>
      <c r="W104" s="9" t="s">
        <v>487</v>
      </c>
      <c r="X104" s="9" t="s">
        <v>487</v>
      </c>
      <c r="Y104" s="9" t="s">
        <v>487</v>
      </c>
      <c r="Z104" s="9" t="s">
        <v>487</v>
      </c>
      <c r="AA104" s="9" t="s">
        <v>490</v>
      </c>
      <c r="AB104" s="9" t="s">
        <v>487</v>
      </c>
      <c r="AC104" s="9" t="s">
        <v>488</v>
      </c>
      <c r="AD104" s="9" t="s">
        <v>487</v>
      </c>
      <c r="AE104" s="9" t="s">
        <v>487</v>
      </c>
      <c r="AF104" s="9" t="s">
        <v>487</v>
      </c>
      <c r="AG104" s="9" t="s">
        <v>487</v>
      </c>
      <c r="AH104" s="9" t="s">
        <v>487</v>
      </c>
      <c r="AI104">
        <f t="shared" si="23"/>
        <v>23</v>
      </c>
      <c r="AJ104">
        <f t="shared" si="24"/>
        <v>1</v>
      </c>
      <c r="AK104">
        <f t="shared" si="25"/>
        <v>2</v>
      </c>
      <c r="AL104">
        <f t="shared" si="26"/>
        <v>0</v>
      </c>
      <c r="AM104">
        <f t="shared" si="27"/>
        <v>0</v>
      </c>
      <c r="AN104">
        <f t="shared" si="28"/>
        <v>0</v>
      </c>
      <c r="AO104">
        <f t="shared" si="29"/>
        <v>25</v>
      </c>
      <c r="AP104" s="66">
        <f t="shared" si="22"/>
        <v>96.15384615384616</v>
      </c>
    </row>
    <row r="105" spans="1:42">
      <c r="A105" t="s">
        <v>113</v>
      </c>
      <c r="B105" t="str">
        <f>_xlfn.XLOOKUP(A105,Table1[Emp_ID],Table1[Full_Name ])</f>
        <v>Prem</v>
      </c>
      <c r="C105" t="str">
        <f>_xlfn.XLOOKUP(A105,Table1[Emp_ID],Table1[Department])</f>
        <v>IT</v>
      </c>
      <c r="D105" s="9" t="s">
        <v>487</v>
      </c>
      <c r="E105" s="9" t="s">
        <v>487</v>
      </c>
      <c r="F105" s="9" t="s">
        <v>487</v>
      </c>
      <c r="G105" s="9" t="s">
        <v>487</v>
      </c>
      <c r="H105" s="9" t="s">
        <v>488</v>
      </c>
      <c r="I105" s="9" t="s">
        <v>487</v>
      </c>
      <c r="J105" s="9" t="s">
        <v>487</v>
      </c>
      <c r="K105" s="9" t="s">
        <v>487</v>
      </c>
      <c r="L105" s="9" t="s">
        <v>487</v>
      </c>
      <c r="M105" s="9" t="s">
        <v>487</v>
      </c>
      <c r="N105" s="9" t="s">
        <v>487</v>
      </c>
      <c r="O105" s="9" t="s">
        <v>488</v>
      </c>
      <c r="P105" s="9" t="s">
        <v>488</v>
      </c>
      <c r="Q105" s="9" t="s">
        <v>491</v>
      </c>
      <c r="R105" s="9" t="s">
        <v>487</v>
      </c>
      <c r="S105" s="9" t="s">
        <v>487</v>
      </c>
      <c r="T105" s="9" t="s">
        <v>487</v>
      </c>
      <c r="U105" s="9" t="s">
        <v>491</v>
      </c>
      <c r="V105" s="9" t="s">
        <v>488</v>
      </c>
      <c r="W105" s="9" t="s">
        <v>487</v>
      </c>
      <c r="X105" s="9" t="s">
        <v>487</v>
      </c>
      <c r="Y105" s="9" t="s">
        <v>487</v>
      </c>
      <c r="Z105" s="9" t="s">
        <v>487</v>
      </c>
      <c r="AA105" s="9" t="s">
        <v>487</v>
      </c>
      <c r="AB105" s="9" t="s">
        <v>487</v>
      </c>
      <c r="AC105" s="9" t="s">
        <v>488</v>
      </c>
      <c r="AD105" s="9" t="s">
        <v>493</v>
      </c>
      <c r="AE105" s="9" t="s">
        <v>493</v>
      </c>
      <c r="AF105" s="9" t="s">
        <v>493</v>
      </c>
      <c r="AG105" s="9" t="s">
        <v>487</v>
      </c>
      <c r="AH105" s="9" t="s">
        <v>487</v>
      </c>
      <c r="AI105">
        <f t="shared" si="23"/>
        <v>21</v>
      </c>
      <c r="AJ105">
        <f t="shared" si="24"/>
        <v>0</v>
      </c>
      <c r="AK105">
        <f t="shared" si="25"/>
        <v>0</v>
      </c>
      <c r="AL105">
        <f t="shared" si="26"/>
        <v>2</v>
      </c>
      <c r="AM105">
        <f t="shared" si="27"/>
        <v>3</v>
      </c>
      <c r="AN105">
        <f t="shared" si="28"/>
        <v>0</v>
      </c>
      <c r="AO105">
        <f t="shared" si="29"/>
        <v>26</v>
      </c>
      <c r="AP105" s="66">
        <f t="shared" si="22"/>
        <v>100</v>
      </c>
    </row>
    <row r="106" spans="1:42">
      <c r="A106" t="s">
        <v>114</v>
      </c>
      <c r="B106" t="str">
        <f>_xlfn.XLOOKUP(A106,Table1[Emp_ID],Table1[Full_Name ])</f>
        <v>Kamal</v>
      </c>
      <c r="C106" t="str">
        <f>_xlfn.XLOOKUP(A106,Table1[Emp_ID],Table1[Department])</f>
        <v>IT</v>
      </c>
      <c r="D106" s="9" t="s">
        <v>487</v>
      </c>
      <c r="E106" s="9" t="s">
        <v>487</v>
      </c>
      <c r="F106" s="9" t="s">
        <v>487</v>
      </c>
      <c r="G106" s="9" t="s">
        <v>487</v>
      </c>
      <c r="H106" s="9" t="s">
        <v>488</v>
      </c>
      <c r="I106" s="9" t="s">
        <v>487</v>
      </c>
      <c r="J106" s="9" t="s">
        <v>487</v>
      </c>
      <c r="K106" s="9" t="s">
        <v>487</v>
      </c>
      <c r="L106" s="9" t="s">
        <v>487</v>
      </c>
      <c r="M106" s="9" t="s">
        <v>487</v>
      </c>
      <c r="N106" s="9" t="s">
        <v>487</v>
      </c>
      <c r="O106" s="9" t="s">
        <v>488</v>
      </c>
      <c r="P106" s="9" t="s">
        <v>488</v>
      </c>
      <c r="Q106" s="9" t="s">
        <v>487</v>
      </c>
      <c r="R106" s="9" t="s">
        <v>487</v>
      </c>
      <c r="S106" s="9" t="s">
        <v>487</v>
      </c>
      <c r="T106" s="9" t="s">
        <v>487</v>
      </c>
      <c r="U106" s="9" t="s">
        <v>487</v>
      </c>
      <c r="V106" s="9" t="s">
        <v>488</v>
      </c>
      <c r="W106" s="9" t="s">
        <v>487</v>
      </c>
      <c r="X106" s="9" t="s">
        <v>487</v>
      </c>
      <c r="Y106" s="9" t="s">
        <v>487</v>
      </c>
      <c r="Z106" s="9" t="s">
        <v>487</v>
      </c>
      <c r="AA106" s="9" t="s">
        <v>487</v>
      </c>
      <c r="AB106" s="9" t="s">
        <v>487</v>
      </c>
      <c r="AC106" s="9" t="s">
        <v>488</v>
      </c>
      <c r="AD106" s="9" t="s">
        <v>487</v>
      </c>
      <c r="AE106" s="9" t="s">
        <v>487</v>
      </c>
      <c r="AF106" s="9" t="s">
        <v>487</v>
      </c>
      <c r="AG106" s="9" t="s">
        <v>487</v>
      </c>
      <c r="AH106" s="9" t="s">
        <v>493</v>
      </c>
      <c r="AI106">
        <f t="shared" si="23"/>
        <v>25</v>
      </c>
      <c r="AJ106">
        <f t="shared" si="24"/>
        <v>0</v>
      </c>
      <c r="AK106">
        <f t="shared" si="25"/>
        <v>0</v>
      </c>
      <c r="AL106">
        <f t="shared" si="26"/>
        <v>0</v>
      </c>
      <c r="AM106">
        <f t="shared" si="27"/>
        <v>1</v>
      </c>
      <c r="AN106">
        <f t="shared" si="28"/>
        <v>0</v>
      </c>
      <c r="AO106">
        <f t="shared" si="29"/>
        <v>26</v>
      </c>
      <c r="AP106" s="66">
        <f t="shared" si="22"/>
        <v>100</v>
      </c>
    </row>
    <row r="107" spans="1:42">
      <c r="A107" t="s">
        <v>115</v>
      </c>
      <c r="B107" t="str">
        <f>_xlfn.XLOOKUP(A107,Table1[Emp_ID],Table1[Full_Name ])</f>
        <v>Jagdish</v>
      </c>
      <c r="C107" t="str">
        <f>_xlfn.XLOOKUP(A107,Table1[Emp_ID],Table1[Department])</f>
        <v>IT</v>
      </c>
      <c r="D107" s="9" t="s">
        <v>487</v>
      </c>
      <c r="E107" s="9" t="s">
        <v>487</v>
      </c>
      <c r="F107" s="9" t="s">
        <v>487</v>
      </c>
      <c r="G107" s="9" t="s">
        <v>487</v>
      </c>
      <c r="H107" s="9" t="s">
        <v>488</v>
      </c>
      <c r="I107" s="9" t="s">
        <v>487</v>
      </c>
      <c r="J107" s="9" t="s">
        <v>487</v>
      </c>
      <c r="K107" s="9" t="s">
        <v>487</v>
      </c>
      <c r="L107" s="9" t="s">
        <v>487</v>
      </c>
      <c r="M107" s="9" t="s">
        <v>487</v>
      </c>
      <c r="N107" s="9" t="s">
        <v>487</v>
      </c>
      <c r="O107" s="9" t="s">
        <v>488</v>
      </c>
      <c r="P107" s="9" t="s">
        <v>488</v>
      </c>
      <c r="Q107" s="9" t="s">
        <v>487</v>
      </c>
      <c r="R107" s="9" t="s">
        <v>487</v>
      </c>
      <c r="S107" s="9" t="s">
        <v>487</v>
      </c>
      <c r="T107" s="9" t="s">
        <v>487</v>
      </c>
      <c r="U107" s="9" t="s">
        <v>487</v>
      </c>
      <c r="V107" s="9" t="s">
        <v>488</v>
      </c>
      <c r="W107" s="9" t="s">
        <v>487</v>
      </c>
      <c r="X107" s="9" t="s">
        <v>487</v>
      </c>
      <c r="Y107" s="9" t="s">
        <v>487</v>
      </c>
      <c r="Z107" s="9" t="s">
        <v>487</v>
      </c>
      <c r="AA107" s="9" t="s">
        <v>487</v>
      </c>
      <c r="AB107" s="9" t="s">
        <v>487</v>
      </c>
      <c r="AC107" s="9" t="s">
        <v>488</v>
      </c>
      <c r="AD107" s="9" t="s">
        <v>487</v>
      </c>
      <c r="AE107" s="9" t="s">
        <v>487</v>
      </c>
      <c r="AF107" s="9" t="s">
        <v>487</v>
      </c>
      <c r="AG107" s="9" t="s">
        <v>487</v>
      </c>
      <c r="AH107" s="9" t="s">
        <v>487</v>
      </c>
      <c r="AI107">
        <f t="shared" si="23"/>
        <v>26</v>
      </c>
      <c r="AJ107">
        <f t="shared" si="24"/>
        <v>0</v>
      </c>
      <c r="AK107">
        <f t="shared" si="25"/>
        <v>0</v>
      </c>
      <c r="AL107">
        <f t="shared" si="26"/>
        <v>0</v>
      </c>
      <c r="AM107">
        <f t="shared" si="27"/>
        <v>0</v>
      </c>
      <c r="AN107">
        <f t="shared" si="28"/>
        <v>0</v>
      </c>
      <c r="AO107">
        <f t="shared" si="29"/>
        <v>26</v>
      </c>
      <c r="AP107" s="66">
        <f t="shared" si="22"/>
        <v>100</v>
      </c>
    </row>
    <row r="110" spans="1:42">
      <c r="A110" s="11" t="s">
        <v>1</v>
      </c>
      <c r="B110" s="11" t="s">
        <v>494</v>
      </c>
      <c r="C110" s="11" t="s">
        <v>495</v>
      </c>
    </row>
    <row r="111" spans="1:42">
      <c r="A111" s="10" t="s">
        <v>222</v>
      </c>
      <c r="B111" s="10">
        <f>AVERAGEIF(C$2:C$107,"Operations",AP$2:AP$107)</f>
        <v>97.086247086247099</v>
      </c>
      <c r="C111">
        <f>SUMIF(C$2:C$107,"Operations",AJ$2:AJ$107)</f>
        <v>20</v>
      </c>
    </row>
    <row r="112" spans="1:42">
      <c r="A112" t="s">
        <v>223</v>
      </c>
      <c r="B112" s="10">
        <f>AVERAGEIF(C$2:C$107,"Warehouse",AP$2:AP$107)</f>
        <v>96.336996336996364</v>
      </c>
      <c r="C112">
        <f>SUMIF(C$2:C$107,"Warehouse",AJ$2:AJ$107)</f>
        <v>16</v>
      </c>
    </row>
    <row r="113" spans="1:3">
      <c r="A113" t="s">
        <v>224</v>
      </c>
      <c r="B113" s="10">
        <f>AVERAGEIF(C$2:C$107,"Marketing",AP$2:AP$107)</f>
        <v>94.711538461538481</v>
      </c>
      <c r="C113">
        <f>SUMIF(C$2:C$107,"Marketing",AJ$2:AJ$107)</f>
        <v>18</v>
      </c>
    </row>
    <row r="114" spans="1:3">
      <c r="A114" t="s">
        <v>225</v>
      </c>
      <c r="B114" s="10">
        <f>AVERAGEIF(C$2:C$107,"Support",AP$2:AP$107)</f>
        <v>95.192307692307708</v>
      </c>
      <c r="C114">
        <f>SUMIF(C$2:C$107,"Support",AJ$2:AJ$107)</f>
        <v>12</v>
      </c>
    </row>
    <row r="115" spans="1:3">
      <c r="A115" t="s">
        <v>226</v>
      </c>
      <c r="B115" s="10">
        <f>AVERAGEIF(C$2:C$107,"Accounts",AP$2:AP$107)</f>
        <v>96.153846153846146</v>
      </c>
      <c r="C115">
        <f>SUMIF(C$2:C$107,"Accounts",AJ$2:AJ$107)</f>
        <v>5</v>
      </c>
    </row>
    <row r="116" spans="1:3">
      <c r="A116" t="s">
        <v>229</v>
      </c>
      <c r="B116" s="10">
        <f>AVERAGEIF(C$2:C$107,"HR",AP$2:AP$107)</f>
        <v>97.435897435897445</v>
      </c>
      <c r="C116">
        <f>SUMIF(C$2:C$107,"HR",AJ$2:AJ$107)</f>
        <v>4</v>
      </c>
    </row>
    <row r="117" spans="1:3">
      <c r="A117" t="s">
        <v>227</v>
      </c>
      <c r="B117" s="10">
        <f>AVERAGEIF(C$2:C$107,"IT",AP$2:AP$107)</f>
        <v>98.07692307692308</v>
      </c>
      <c r="C117">
        <f>SUMIF(C$2:C$107,"IT",AJ$2:AJ$107)</f>
        <v>4</v>
      </c>
    </row>
  </sheetData>
  <phoneticPr fontId="1" type="noConversion"/>
  <conditionalFormatting sqref="D1:AH2 Q3:AH15 D3:P107 AD16:AI101 Q16:AC107 AH102:AI102 AD102:AG107 AH103:AK107">
    <cfRule type="expression" dxfId="11" priority="8">
      <formula>WEEKDAY(D$1,2)=7</formula>
    </cfRule>
  </conditionalFormatting>
  <conditionalFormatting sqref="D2:AH2 Q3:AH15 D3:P107 AD16:AI101 Q16:AC107 AH102:AI102 AD102:AG107 AH103:AK107">
    <cfRule type="expression" dxfId="10" priority="1">
      <formula>D2="H"</formula>
    </cfRule>
    <cfRule type="expression" dxfId="9" priority="2">
      <formula>D2="L"</formula>
    </cfRule>
    <cfRule type="expression" dxfId="8" priority="3">
      <formula>D2="EL"</formula>
    </cfRule>
    <cfRule type="expression" dxfId="7" priority="4">
      <formula>D2="SL"</formula>
    </cfRule>
    <cfRule type="expression" dxfId="6" priority="5">
      <formula>D2="CL"</formula>
    </cfRule>
    <cfRule type="expression" dxfId="5" priority="6">
      <formula>D2="A"</formula>
    </cfRule>
    <cfRule type="expression" dxfId="4" priority="7">
      <formula>D2="P"</formula>
    </cfRule>
  </conditionalFormatting>
  <dataValidations disablePrompts="1" count="1">
    <dataValidation type="list" allowBlank="1" showInputMessage="1" showErrorMessage="1" sqref="AD16:AG107 AD2:AH15 AH103:AK107 AH16:AI102 D2:AC107" xr:uid="{166B7CD7-D4B3-479A-9F09-9274329B85FE}">
      <formula1>"P,A,CL,SL,EL,L,H"</formula1>
    </dataValidation>
  </dataValidations>
  <pageMargins left="0.7" right="0.7" top="0.75" bottom="0.75" header="0.3" footer="0.3"/>
  <ignoredErrors>
    <ignoredError sqref="D1" twoDigitTextYear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D1B6-6B93-4899-B99A-79BD4AE52908}">
  <dimension ref="A1:O124"/>
  <sheetViews>
    <sheetView tabSelected="1" workbookViewId="0">
      <selection activeCell="A118" sqref="A118:A124"/>
    </sheetView>
  </sheetViews>
  <sheetFormatPr defaultRowHeight="15"/>
  <cols>
    <col min="1" max="1" width="18.5703125" bestFit="1" customWidth="1"/>
    <col min="2" max="2" width="13.42578125" bestFit="1" customWidth="1"/>
    <col min="3" max="3" width="14" bestFit="1" customWidth="1"/>
    <col min="4" max="4" width="19.42578125" bestFit="1" customWidth="1"/>
    <col min="5" max="5" width="14" bestFit="1" customWidth="1"/>
    <col min="6" max="6" width="8.140625" bestFit="1" customWidth="1"/>
    <col min="7" max="7" width="7.140625" bestFit="1" customWidth="1"/>
    <col min="8" max="8" width="14.5703125" bestFit="1" customWidth="1"/>
    <col min="9" max="9" width="7.140625" bestFit="1" customWidth="1"/>
    <col min="10" max="10" width="5.85546875" bestFit="1" customWidth="1"/>
    <col min="11" max="11" width="11" bestFit="1" customWidth="1"/>
    <col min="12" max="12" width="17" bestFit="1" customWidth="1"/>
    <col min="13" max="13" width="18.85546875" bestFit="1" customWidth="1"/>
    <col min="14" max="14" width="12.85546875" bestFit="1" customWidth="1"/>
    <col min="15" max="15" width="15" bestFit="1" customWidth="1"/>
  </cols>
  <sheetData>
    <row r="1" spans="1:15">
      <c r="A1" s="12" t="s">
        <v>0</v>
      </c>
      <c r="B1" s="12" t="s">
        <v>446</v>
      </c>
      <c r="C1" s="12" t="s">
        <v>1</v>
      </c>
      <c r="D1" s="12" t="s">
        <v>228</v>
      </c>
      <c r="E1" s="13" t="s">
        <v>4</v>
      </c>
      <c r="F1" s="13" t="s">
        <v>496</v>
      </c>
      <c r="G1" s="13" t="s">
        <v>497</v>
      </c>
      <c r="H1" s="13" t="s">
        <v>498</v>
      </c>
      <c r="I1" s="13" t="s">
        <v>499</v>
      </c>
      <c r="J1" s="13" t="s">
        <v>500</v>
      </c>
      <c r="K1" s="13" t="s">
        <v>501</v>
      </c>
      <c r="L1" s="13" t="s">
        <v>502</v>
      </c>
      <c r="M1" s="13" t="s">
        <v>503</v>
      </c>
      <c r="N1" s="13" t="s">
        <v>504</v>
      </c>
      <c r="O1" s="13" t="s">
        <v>505</v>
      </c>
    </row>
    <row r="2" spans="1:15">
      <c r="A2" s="7" t="s">
        <v>10</v>
      </c>
      <c r="B2" t="str">
        <f>_xlfn.XLOOKUP(Table3[[#This Row],[Emp_ID]],Table1[Emp_ID],Table1[Full_Name ])</f>
        <v>Aarav</v>
      </c>
      <c r="C2" t="str">
        <f>_xlfn.XLOOKUP(Table3[[#This Row],[Emp_ID]],Table1[Emp_ID],Table1[Department])</f>
        <v>Operations</v>
      </c>
      <c r="D2" t="str">
        <f>_xlfn.XLOOKUP(Table3[[#This Row],[Emp_ID]],Table1[Emp_ID],Table1[Designation])</f>
        <v>Associate / Operator</v>
      </c>
      <c r="E2" s="14">
        <f>_xlfn.XLOOKUP(Table3[[#This Row],[Emp_ID]],Table1[Emp_ID],Table1[Basic_Salary])</f>
        <v>12000</v>
      </c>
      <c r="F2" s="14">
        <f>E2*_xlfn.XLOOKUP(Table3[[#This Row],[Emp_ID]],Table1[Emp_ID],Table1[HRA_%])</f>
        <v>2400</v>
      </c>
      <c r="G2" s="14">
        <f>E2*_xlfn.XLOOKUP(Table3[[#This Row],[Emp_ID]],Table1[Emp_ID],Table1[DA_%])</f>
        <v>960</v>
      </c>
      <c r="H2" s="14">
        <f t="shared" ref="H2:H33" si="0">E2+F2+G2</f>
        <v>15360</v>
      </c>
      <c r="I2" s="14">
        <f t="shared" ref="I2:I33" si="1">IF(E2&gt;15000,ROUND(E2*0.12,0),0)</f>
        <v>0</v>
      </c>
      <c r="J2" s="14">
        <f t="shared" ref="J2:J33" si="2">IF(H2&lt;21000,ROUND(H2*0.0075,0),0)</f>
        <v>115</v>
      </c>
      <c r="K2" s="14">
        <f t="shared" ref="K2:K33" si="3">IF(H2&lt;=10000,0,IF(H2&lt;=15000,150,IF(H2&lt;=25000,300,200)))</f>
        <v>300</v>
      </c>
      <c r="L2" s="14">
        <f>ROUND((E2/26)*_xlfn.XLOOKUP(Table3[[#This Row],[Emp_ID]],Table2[Emp_ID],Table2[Total Absent]),0)</f>
        <v>462</v>
      </c>
      <c r="M2" s="14">
        <f t="shared" ref="M2:M33" si="4">I2+J2+K2+L2</f>
        <v>877</v>
      </c>
      <c r="N2" s="14">
        <f t="shared" ref="N2:N33" si="5">H2-M2</f>
        <v>14483</v>
      </c>
      <c r="O2" t="str">
        <f t="shared" ref="O2:O33" si="6">IF(N2&gt;=30000,"High",IF(N2&gt;=20000,"Mid",IF(N2&gt;=12000,"Low","Review")))</f>
        <v>Low</v>
      </c>
    </row>
    <row r="3" spans="1:15">
      <c r="A3" s="8" t="s">
        <v>11</v>
      </c>
      <c r="B3" t="str">
        <f>_xlfn.XLOOKUP(Table3[[#This Row],[Emp_ID]],Table1[Emp_ID],Table1[Full_Name ])</f>
        <v>Vivaan</v>
      </c>
      <c r="C3" t="str">
        <f>_xlfn.XLOOKUP(Table3[[#This Row],[Emp_ID]],Table1[Emp_ID],Table1[Department])</f>
        <v>Operations</v>
      </c>
      <c r="D3" t="str">
        <f>_xlfn.XLOOKUP(Table3[[#This Row],[Emp_ID]],Table1[Emp_ID],Table1[Designation])</f>
        <v>Associate / Operator</v>
      </c>
      <c r="E3" s="14">
        <f>_xlfn.XLOOKUP(Table3[[#This Row],[Emp_ID]],Table1[Emp_ID],Table1[Basic_Salary])</f>
        <v>13000</v>
      </c>
      <c r="F3" s="14">
        <f>E3*_xlfn.XLOOKUP(Table3[[#This Row],[Emp_ID]],Table1[Emp_ID],Table1[HRA_%])</f>
        <v>2600</v>
      </c>
      <c r="G3" s="14">
        <f>E3*_xlfn.XLOOKUP(Table3[[#This Row],[Emp_ID]],Table1[Emp_ID],Table1[DA_%])</f>
        <v>1040</v>
      </c>
      <c r="H3" s="14">
        <f t="shared" si="0"/>
        <v>16640</v>
      </c>
      <c r="I3" s="14">
        <f t="shared" si="1"/>
        <v>0</v>
      </c>
      <c r="J3" s="14">
        <f t="shared" si="2"/>
        <v>125</v>
      </c>
      <c r="K3" s="14">
        <f t="shared" si="3"/>
        <v>300</v>
      </c>
      <c r="L3" s="14">
        <f>ROUND((E3/26)*_xlfn.XLOOKUP(Table3[[#This Row],[Emp_ID]],Table2[Emp_ID],Table2[Total Absent]),0)</f>
        <v>500</v>
      </c>
      <c r="M3" s="14">
        <f t="shared" si="4"/>
        <v>925</v>
      </c>
      <c r="N3" s="14">
        <f t="shared" si="5"/>
        <v>15715</v>
      </c>
      <c r="O3" t="str">
        <f t="shared" si="6"/>
        <v>Low</v>
      </c>
    </row>
    <row r="4" spans="1:15">
      <c r="A4" s="7" t="s">
        <v>12</v>
      </c>
      <c r="B4" t="str">
        <f>_xlfn.XLOOKUP(Table3[[#This Row],[Emp_ID]],Table1[Emp_ID],Table1[Full_Name ])</f>
        <v>Aditya</v>
      </c>
      <c r="C4" t="str">
        <f>_xlfn.XLOOKUP(Table3[[#This Row],[Emp_ID]],Table1[Emp_ID],Table1[Department])</f>
        <v>Operations</v>
      </c>
      <c r="D4" t="str">
        <f>_xlfn.XLOOKUP(Table3[[#This Row],[Emp_ID]],Table1[Emp_ID],Table1[Designation])</f>
        <v>Associate / Operator</v>
      </c>
      <c r="E4" s="14">
        <f>_xlfn.XLOOKUP(Table3[[#This Row],[Emp_ID]],Table1[Emp_ID],Table1[Basic_Salary])</f>
        <v>13500</v>
      </c>
      <c r="F4" s="14">
        <f>E4*_xlfn.XLOOKUP(Table3[[#This Row],[Emp_ID]],Table1[Emp_ID],Table1[HRA_%])</f>
        <v>2700</v>
      </c>
      <c r="G4" s="14">
        <f>E4*_xlfn.XLOOKUP(Table3[[#This Row],[Emp_ID]],Table1[Emp_ID],Table1[DA_%])</f>
        <v>1080</v>
      </c>
      <c r="H4" s="14">
        <f t="shared" si="0"/>
        <v>17280</v>
      </c>
      <c r="I4" s="14">
        <f t="shared" si="1"/>
        <v>0</v>
      </c>
      <c r="J4" s="14">
        <f t="shared" si="2"/>
        <v>130</v>
      </c>
      <c r="K4" s="14">
        <f t="shared" si="3"/>
        <v>300</v>
      </c>
      <c r="L4" s="14">
        <f>ROUND((E4/26)*_xlfn.XLOOKUP(Table3[[#This Row],[Emp_ID]],Table2[Emp_ID],Table2[Total Absent]),0)</f>
        <v>0</v>
      </c>
      <c r="M4" s="14">
        <f t="shared" si="4"/>
        <v>430</v>
      </c>
      <c r="N4" s="14">
        <f t="shared" si="5"/>
        <v>16850</v>
      </c>
      <c r="O4" t="str">
        <f t="shared" si="6"/>
        <v>Low</v>
      </c>
    </row>
    <row r="5" spans="1:15">
      <c r="A5" s="8" t="s">
        <v>13</v>
      </c>
      <c r="B5" t="str">
        <f>_xlfn.XLOOKUP(Table3[[#This Row],[Emp_ID]],Table1[Emp_ID],Table1[Full_Name ])</f>
        <v>Arjun</v>
      </c>
      <c r="C5" t="str">
        <f>_xlfn.XLOOKUP(Table3[[#This Row],[Emp_ID]],Table1[Emp_ID],Table1[Department])</f>
        <v>Operations</v>
      </c>
      <c r="D5" t="str">
        <f>_xlfn.XLOOKUP(Table3[[#This Row],[Emp_ID]],Table1[Emp_ID],Table1[Designation])</f>
        <v>Associate / Operator</v>
      </c>
      <c r="E5" s="14">
        <f>_xlfn.XLOOKUP(Table3[[#This Row],[Emp_ID]],Table1[Emp_ID],Table1[Basic_Salary])</f>
        <v>15000</v>
      </c>
      <c r="F5" s="14">
        <f>E5*_xlfn.XLOOKUP(Table3[[#This Row],[Emp_ID]],Table1[Emp_ID],Table1[HRA_%])</f>
        <v>3000</v>
      </c>
      <c r="G5" s="14">
        <f>E5*_xlfn.XLOOKUP(Table3[[#This Row],[Emp_ID]],Table1[Emp_ID],Table1[DA_%])</f>
        <v>1200</v>
      </c>
      <c r="H5" s="14">
        <f t="shared" si="0"/>
        <v>19200</v>
      </c>
      <c r="I5" s="14">
        <f t="shared" si="1"/>
        <v>0</v>
      </c>
      <c r="J5" s="14">
        <f t="shared" si="2"/>
        <v>144</v>
      </c>
      <c r="K5" s="14">
        <f t="shared" si="3"/>
        <v>300</v>
      </c>
      <c r="L5" s="14">
        <f>ROUND((E5/26)*_xlfn.XLOOKUP(Table3[[#This Row],[Emp_ID]],Table2[Emp_ID],Table2[Total Absent]),0)</f>
        <v>577</v>
      </c>
      <c r="M5" s="14">
        <f t="shared" si="4"/>
        <v>1021</v>
      </c>
      <c r="N5" s="14">
        <f t="shared" si="5"/>
        <v>18179</v>
      </c>
      <c r="O5" t="str">
        <f t="shared" si="6"/>
        <v>Low</v>
      </c>
    </row>
    <row r="6" spans="1:15">
      <c r="A6" s="7" t="s">
        <v>14</v>
      </c>
      <c r="B6" t="str">
        <f>_xlfn.XLOOKUP(Table3[[#This Row],[Emp_ID]],Table1[Emp_ID],Table1[Full_Name ])</f>
        <v>Reyansh</v>
      </c>
      <c r="C6" t="str">
        <f>_xlfn.XLOOKUP(Table3[[#This Row],[Emp_ID]],Table1[Emp_ID],Table1[Department])</f>
        <v>Operations</v>
      </c>
      <c r="D6" t="str">
        <f>_xlfn.XLOOKUP(Table3[[#This Row],[Emp_ID]],Table1[Emp_ID],Table1[Designation])</f>
        <v>Executive</v>
      </c>
      <c r="E6" s="14">
        <f>_xlfn.XLOOKUP(Table3[[#This Row],[Emp_ID]],Table1[Emp_ID],Table1[Basic_Salary])</f>
        <v>27000</v>
      </c>
      <c r="F6" s="14">
        <f>E6*_xlfn.XLOOKUP(Table3[[#This Row],[Emp_ID]],Table1[Emp_ID],Table1[HRA_%])</f>
        <v>8100</v>
      </c>
      <c r="G6" s="14">
        <f>E6*_xlfn.XLOOKUP(Table3[[#This Row],[Emp_ID]],Table1[Emp_ID],Table1[DA_%])</f>
        <v>2700</v>
      </c>
      <c r="H6" s="14">
        <f t="shared" si="0"/>
        <v>37800</v>
      </c>
      <c r="I6" s="14">
        <f t="shared" si="1"/>
        <v>3240</v>
      </c>
      <c r="J6" s="14">
        <f t="shared" si="2"/>
        <v>0</v>
      </c>
      <c r="K6" s="14">
        <f t="shared" si="3"/>
        <v>200</v>
      </c>
      <c r="L6" s="14">
        <f>ROUND((E6/26)*_xlfn.XLOOKUP(Table3[[#This Row],[Emp_ID]],Table2[Emp_ID],Table2[Total Absent]),0)</f>
        <v>1038</v>
      </c>
      <c r="M6" s="14">
        <f t="shared" si="4"/>
        <v>4478</v>
      </c>
      <c r="N6" s="14">
        <f t="shared" si="5"/>
        <v>33322</v>
      </c>
      <c r="O6" t="str">
        <f t="shared" si="6"/>
        <v>High</v>
      </c>
    </row>
    <row r="7" spans="1:15">
      <c r="A7" s="8" t="s">
        <v>15</v>
      </c>
      <c r="B7" t="str">
        <f>_xlfn.XLOOKUP(Table3[[#This Row],[Emp_ID]],Table1[Emp_ID],Table1[Full_Name ])</f>
        <v>Muhammad</v>
      </c>
      <c r="C7" t="str">
        <f>_xlfn.XLOOKUP(Table3[[#This Row],[Emp_ID]],Table1[Emp_ID],Table1[Department])</f>
        <v>Operations</v>
      </c>
      <c r="D7" t="str">
        <f>_xlfn.XLOOKUP(Table3[[#This Row],[Emp_ID]],Table1[Emp_ID],Table1[Designation])</f>
        <v>Associate / Operator</v>
      </c>
      <c r="E7" s="14">
        <f>_xlfn.XLOOKUP(Table3[[#This Row],[Emp_ID]],Table1[Emp_ID],Table1[Basic_Salary])</f>
        <v>17000</v>
      </c>
      <c r="F7" s="14">
        <f>E7*_xlfn.XLOOKUP(Table3[[#This Row],[Emp_ID]],Table1[Emp_ID],Table1[HRA_%])</f>
        <v>3400</v>
      </c>
      <c r="G7" s="14">
        <f>E7*_xlfn.XLOOKUP(Table3[[#This Row],[Emp_ID]],Table1[Emp_ID],Table1[DA_%])</f>
        <v>1360</v>
      </c>
      <c r="H7" s="14">
        <f t="shared" si="0"/>
        <v>21760</v>
      </c>
      <c r="I7" s="14">
        <f t="shared" si="1"/>
        <v>2040</v>
      </c>
      <c r="J7" s="14">
        <f t="shared" si="2"/>
        <v>0</v>
      </c>
      <c r="K7" s="14">
        <f t="shared" si="3"/>
        <v>300</v>
      </c>
      <c r="L7" s="14">
        <f>ROUND((E7/26)*_xlfn.XLOOKUP(Table3[[#This Row],[Emp_ID]],Table2[Emp_ID],Table2[Total Absent]),0)</f>
        <v>0</v>
      </c>
      <c r="M7" s="14">
        <f t="shared" si="4"/>
        <v>2340</v>
      </c>
      <c r="N7" s="14">
        <f t="shared" si="5"/>
        <v>19420</v>
      </c>
      <c r="O7" t="str">
        <f t="shared" si="6"/>
        <v>Low</v>
      </c>
    </row>
    <row r="8" spans="1:15">
      <c r="A8" s="7" t="s">
        <v>16</v>
      </c>
      <c r="B8" t="str">
        <f>_xlfn.XLOOKUP(Table3[[#This Row],[Emp_ID]],Table1[Emp_ID],Table1[Full_Name ])</f>
        <v>Krishna</v>
      </c>
      <c r="C8" t="str">
        <f>_xlfn.XLOOKUP(Table3[[#This Row],[Emp_ID]],Table1[Emp_ID],Table1[Department])</f>
        <v>Operations</v>
      </c>
      <c r="D8" t="str">
        <f>_xlfn.XLOOKUP(Table3[[#This Row],[Emp_ID]],Table1[Emp_ID],Table1[Designation])</f>
        <v>Associate / Operator</v>
      </c>
      <c r="E8" s="14">
        <f>_xlfn.XLOOKUP(Table3[[#This Row],[Emp_ID]],Table1[Emp_ID],Table1[Basic_Salary])</f>
        <v>15000</v>
      </c>
      <c r="F8" s="14">
        <f>E8*_xlfn.XLOOKUP(Table3[[#This Row],[Emp_ID]],Table1[Emp_ID],Table1[HRA_%])</f>
        <v>3000</v>
      </c>
      <c r="G8" s="14">
        <f>E8*_xlfn.XLOOKUP(Table3[[#This Row],[Emp_ID]],Table1[Emp_ID],Table1[DA_%])</f>
        <v>1200</v>
      </c>
      <c r="H8" s="14">
        <f t="shared" si="0"/>
        <v>19200</v>
      </c>
      <c r="I8" s="14">
        <f t="shared" si="1"/>
        <v>0</v>
      </c>
      <c r="J8" s="14">
        <f t="shared" si="2"/>
        <v>144</v>
      </c>
      <c r="K8" s="14">
        <f t="shared" si="3"/>
        <v>300</v>
      </c>
      <c r="L8" s="14">
        <f>ROUND((E8/26)*_xlfn.XLOOKUP(Table3[[#This Row],[Emp_ID]],Table2[Emp_ID],Table2[Total Absent]),0)</f>
        <v>577</v>
      </c>
      <c r="M8" s="14">
        <f t="shared" si="4"/>
        <v>1021</v>
      </c>
      <c r="N8" s="14">
        <f t="shared" si="5"/>
        <v>18179</v>
      </c>
      <c r="O8" t="str">
        <f t="shared" si="6"/>
        <v>Low</v>
      </c>
    </row>
    <row r="9" spans="1:15">
      <c r="A9" s="8" t="s">
        <v>17</v>
      </c>
      <c r="B9" t="str">
        <f>_xlfn.XLOOKUP(Table3[[#This Row],[Emp_ID]],Table1[Emp_ID],Table1[Full_Name ])</f>
        <v>Ishaan</v>
      </c>
      <c r="C9" t="str">
        <f>_xlfn.XLOOKUP(Table3[[#This Row],[Emp_ID]],Table1[Emp_ID],Table1[Department])</f>
        <v>Operations</v>
      </c>
      <c r="D9" t="str">
        <f>_xlfn.XLOOKUP(Table3[[#This Row],[Emp_ID]],Table1[Emp_ID],Table1[Designation])</f>
        <v>Associate / Operator</v>
      </c>
      <c r="E9" s="14">
        <f>_xlfn.XLOOKUP(Table3[[#This Row],[Emp_ID]],Table1[Emp_ID],Table1[Basic_Salary])</f>
        <v>14000</v>
      </c>
      <c r="F9" s="14">
        <f>E9*_xlfn.XLOOKUP(Table3[[#This Row],[Emp_ID]],Table1[Emp_ID],Table1[HRA_%])</f>
        <v>2800</v>
      </c>
      <c r="G9" s="14">
        <f>E9*_xlfn.XLOOKUP(Table3[[#This Row],[Emp_ID]],Table1[Emp_ID],Table1[DA_%])</f>
        <v>1120</v>
      </c>
      <c r="H9" s="14">
        <f t="shared" si="0"/>
        <v>17920</v>
      </c>
      <c r="I9" s="14">
        <f t="shared" si="1"/>
        <v>0</v>
      </c>
      <c r="J9" s="14">
        <f t="shared" si="2"/>
        <v>134</v>
      </c>
      <c r="K9" s="14">
        <f t="shared" si="3"/>
        <v>300</v>
      </c>
      <c r="L9" s="14">
        <f>ROUND((E9/26)*_xlfn.XLOOKUP(Table3[[#This Row],[Emp_ID]],Table2[Emp_ID],Table2[Total Absent]),0)</f>
        <v>538</v>
      </c>
      <c r="M9" s="14">
        <f t="shared" si="4"/>
        <v>972</v>
      </c>
      <c r="N9" s="14">
        <f t="shared" si="5"/>
        <v>16948</v>
      </c>
      <c r="O9" t="str">
        <f t="shared" si="6"/>
        <v>Low</v>
      </c>
    </row>
    <row r="10" spans="1:15">
      <c r="A10" s="7" t="s">
        <v>18</v>
      </c>
      <c r="B10" t="str">
        <f>_xlfn.XLOOKUP(Table3[[#This Row],[Emp_ID]],Table1[Emp_ID],Table1[Full_Name ])</f>
        <v>Shaurya</v>
      </c>
      <c r="C10" t="str">
        <f>_xlfn.XLOOKUP(Table3[[#This Row],[Emp_ID]],Table1[Emp_ID],Table1[Department])</f>
        <v>Operations</v>
      </c>
      <c r="D10" t="str">
        <f>_xlfn.XLOOKUP(Table3[[#This Row],[Emp_ID]],Table1[Emp_ID],Table1[Designation])</f>
        <v>Executive</v>
      </c>
      <c r="E10" s="14">
        <f>_xlfn.XLOOKUP(Table3[[#This Row],[Emp_ID]],Table1[Emp_ID],Table1[Basic_Salary])</f>
        <v>23000</v>
      </c>
      <c r="F10" s="14">
        <f>E10*_xlfn.XLOOKUP(Table3[[#This Row],[Emp_ID]],Table1[Emp_ID],Table1[HRA_%])</f>
        <v>6900</v>
      </c>
      <c r="G10" s="14">
        <f>E10*_xlfn.XLOOKUP(Table3[[#This Row],[Emp_ID]],Table1[Emp_ID],Table1[DA_%])</f>
        <v>2300</v>
      </c>
      <c r="H10" s="14">
        <f t="shared" si="0"/>
        <v>32200</v>
      </c>
      <c r="I10" s="14">
        <f t="shared" si="1"/>
        <v>2760</v>
      </c>
      <c r="J10" s="14">
        <f t="shared" si="2"/>
        <v>0</v>
      </c>
      <c r="K10" s="14">
        <f t="shared" si="3"/>
        <v>200</v>
      </c>
      <c r="L10" s="14">
        <f>ROUND((E10/26)*_xlfn.XLOOKUP(Table3[[#This Row],[Emp_ID]],Table2[Emp_ID],Table2[Total Absent]),0)</f>
        <v>0</v>
      </c>
      <c r="M10" s="14">
        <f t="shared" si="4"/>
        <v>2960</v>
      </c>
      <c r="N10" s="14">
        <f t="shared" si="5"/>
        <v>29240</v>
      </c>
      <c r="O10" t="str">
        <f t="shared" si="6"/>
        <v>Mid</v>
      </c>
    </row>
    <row r="11" spans="1:15">
      <c r="A11" s="8" t="s">
        <v>19</v>
      </c>
      <c r="B11" t="str">
        <f>_xlfn.XLOOKUP(Table3[[#This Row],[Emp_ID]],Table1[Emp_ID],Table1[Full_Name ])</f>
        <v>Atharv</v>
      </c>
      <c r="C11" t="str">
        <f>_xlfn.XLOOKUP(Table3[[#This Row],[Emp_ID]],Table1[Emp_ID],Table1[Department])</f>
        <v>Operations</v>
      </c>
      <c r="D11" t="str">
        <f>_xlfn.XLOOKUP(Table3[[#This Row],[Emp_ID]],Table1[Emp_ID],Table1[Designation])</f>
        <v>Associate / Operator</v>
      </c>
      <c r="E11" s="14">
        <f>_xlfn.XLOOKUP(Table3[[#This Row],[Emp_ID]],Table1[Emp_ID],Table1[Basic_Salary])</f>
        <v>14000</v>
      </c>
      <c r="F11" s="14">
        <f>E11*_xlfn.XLOOKUP(Table3[[#This Row],[Emp_ID]],Table1[Emp_ID],Table1[HRA_%])</f>
        <v>2800</v>
      </c>
      <c r="G11" s="14">
        <f>E11*_xlfn.XLOOKUP(Table3[[#This Row],[Emp_ID]],Table1[Emp_ID],Table1[DA_%])</f>
        <v>1120</v>
      </c>
      <c r="H11" s="14">
        <f t="shared" si="0"/>
        <v>17920</v>
      </c>
      <c r="I11" s="14">
        <f t="shared" si="1"/>
        <v>0</v>
      </c>
      <c r="J11" s="14">
        <f t="shared" si="2"/>
        <v>134</v>
      </c>
      <c r="K11" s="14">
        <f t="shared" si="3"/>
        <v>300</v>
      </c>
      <c r="L11" s="14">
        <f>ROUND((E11/26)*_xlfn.XLOOKUP(Table3[[#This Row],[Emp_ID]],Table2[Emp_ID],Table2[Total Absent]),0)</f>
        <v>538</v>
      </c>
      <c r="M11" s="14">
        <f t="shared" si="4"/>
        <v>972</v>
      </c>
      <c r="N11" s="14">
        <f t="shared" si="5"/>
        <v>16948</v>
      </c>
      <c r="O11" t="str">
        <f t="shared" si="6"/>
        <v>Low</v>
      </c>
    </row>
    <row r="12" spans="1:15">
      <c r="A12" s="7" t="s">
        <v>20</v>
      </c>
      <c r="B12" t="str">
        <f>_xlfn.XLOOKUP(Table3[[#This Row],[Emp_ID]],Table1[Emp_ID],Table1[Full_Name ])</f>
        <v>Kabir</v>
      </c>
      <c r="C12" t="str">
        <f>_xlfn.XLOOKUP(Table3[[#This Row],[Emp_ID]],Table1[Emp_ID],Table1[Department])</f>
        <v>Operations</v>
      </c>
      <c r="D12" t="str">
        <f>_xlfn.XLOOKUP(Table3[[#This Row],[Emp_ID]],Table1[Emp_ID],Table1[Designation])</f>
        <v>Manager</v>
      </c>
      <c r="E12" s="14">
        <f>_xlfn.XLOOKUP(Table3[[#This Row],[Emp_ID]],Table1[Emp_ID],Table1[Basic_Salary])</f>
        <v>55000</v>
      </c>
      <c r="F12" s="14">
        <f>E12*_xlfn.XLOOKUP(Table3[[#This Row],[Emp_ID]],Table1[Emp_ID],Table1[HRA_%])</f>
        <v>22000</v>
      </c>
      <c r="G12" s="14">
        <f>E12*_xlfn.XLOOKUP(Table3[[#This Row],[Emp_ID]],Table1[Emp_ID],Table1[DA_%])</f>
        <v>8250</v>
      </c>
      <c r="H12" s="14">
        <f t="shared" si="0"/>
        <v>85250</v>
      </c>
      <c r="I12" s="14">
        <f t="shared" si="1"/>
        <v>6600</v>
      </c>
      <c r="J12" s="14">
        <f t="shared" si="2"/>
        <v>0</v>
      </c>
      <c r="K12" s="14">
        <f t="shared" si="3"/>
        <v>200</v>
      </c>
      <c r="L12" s="14">
        <f>ROUND((E12/26)*_xlfn.XLOOKUP(Table3[[#This Row],[Emp_ID]],Table2[Emp_ID],Table2[Total Absent]),0)</f>
        <v>2115</v>
      </c>
      <c r="M12" s="14">
        <f t="shared" si="4"/>
        <v>8915</v>
      </c>
      <c r="N12" s="14">
        <f t="shared" si="5"/>
        <v>76335</v>
      </c>
      <c r="O12" t="str">
        <f t="shared" si="6"/>
        <v>High</v>
      </c>
    </row>
    <row r="13" spans="1:15">
      <c r="A13" s="8" t="s">
        <v>21</v>
      </c>
      <c r="B13" t="str">
        <f>_xlfn.XLOOKUP(Table3[[#This Row],[Emp_ID]],Table1[Emp_ID],Table1[Full_Name ])</f>
        <v>Rohan</v>
      </c>
      <c r="C13" t="str">
        <f>_xlfn.XLOOKUP(Table3[[#This Row],[Emp_ID]],Table1[Emp_ID],Table1[Department])</f>
        <v>Operations</v>
      </c>
      <c r="D13" t="str">
        <f>_xlfn.XLOOKUP(Table3[[#This Row],[Emp_ID]],Table1[Emp_ID],Table1[Designation])</f>
        <v>Associate / Operator</v>
      </c>
      <c r="E13" s="14">
        <f>_xlfn.XLOOKUP(Table3[[#This Row],[Emp_ID]],Table1[Emp_ID],Table1[Basic_Salary])</f>
        <v>18000</v>
      </c>
      <c r="F13" s="14">
        <f>E13*_xlfn.XLOOKUP(Table3[[#This Row],[Emp_ID]],Table1[Emp_ID],Table1[HRA_%])</f>
        <v>3600</v>
      </c>
      <c r="G13" s="14">
        <f>E13*_xlfn.XLOOKUP(Table3[[#This Row],[Emp_ID]],Table1[Emp_ID],Table1[DA_%])</f>
        <v>1440</v>
      </c>
      <c r="H13" s="14">
        <f t="shared" si="0"/>
        <v>23040</v>
      </c>
      <c r="I13" s="14">
        <f t="shared" si="1"/>
        <v>2160</v>
      </c>
      <c r="J13" s="14">
        <f t="shared" si="2"/>
        <v>0</v>
      </c>
      <c r="K13" s="14">
        <f t="shared" si="3"/>
        <v>300</v>
      </c>
      <c r="L13" s="14">
        <f>ROUND((E13/26)*_xlfn.XLOOKUP(Table3[[#This Row],[Emp_ID]],Table2[Emp_ID],Table2[Total Absent]),0)</f>
        <v>0</v>
      </c>
      <c r="M13" s="14">
        <f t="shared" si="4"/>
        <v>2460</v>
      </c>
      <c r="N13" s="14">
        <f t="shared" si="5"/>
        <v>20580</v>
      </c>
      <c r="O13" t="str">
        <f t="shared" si="6"/>
        <v>Mid</v>
      </c>
    </row>
    <row r="14" spans="1:15">
      <c r="A14" s="7" t="s">
        <v>22</v>
      </c>
      <c r="B14" t="str">
        <f>_xlfn.XLOOKUP(Table3[[#This Row],[Emp_ID]],Table1[Emp_ID],Table1[Full_Name ])</f>
        <v>Ayaan</v>
      </c>
      <c r="C14" t="str">
        <f>_xlfn.XLOOKUP(Table3[[#This Row],[Emp_ID]],Table1[Emp_ID],Table1[Department])</f>
        <v>Operations</v>
      </c>
      <c r="D14" t="str">
        <f>_xlfn.XLOOKUP(Table3[[#This Row],[Emp_ID]],Table1[Emp_ID],Table1[Designation])</f>
        <v>Associate / Operator</v>
      </c>
      <c r="E14" s="14">
        <f>_xlfn.XLOOKUP(Table3[[#This Row],[Emp_ID]],Table1[Emp_ID],Table1[Basic_Salary])</f>
        <v>17500</v>
      </c>
      <c r="F14" s="14">
        <f>E14*_xlfn.XLOOKUP(Table3[[#This Row],[Emp_ID]],Table1[Emp_ID],Table1[HRA_%])</f>
        <v>3500</v>
      </c>
      <c r="G14" s="14">
        <f>E14*_xlfn.XLOOKUP(Table3[[#This Row],[Emp_ID]],Table1[Emp_ID],Table1[DA_%])</f>
        <v>1400</v>
      </c>
      <c r="H14" s="14">
        <f t="shared" si="0"/>
        <v>22400</v>
      </c>
      <c r="I14" s="14">
        <f t="shared" si="1"/>
        <v>2100</v>
      </c>
      <c r="J14" s="14">
        <f t="shared" si="2"/>
        <v>0</v>
      </c>
      <c r="K14" s="14">
        <f t="shared" si="3"/>
        <v>300</v>
      </c>
      <c r="L14" s="14">
        <f>ROUND((E14/26)*_xlfn.XLOOKUP(Table3[[#This Row],[Emp_ID]],Table2[Emp_ID],Table2[Total Absent]),0)</f>
        <v>673</v>
      </c>
      <c r="M14" s="14">
        <f t="shared" si="4"/>
        <v>3073</v>
      </c>
      <c r="N14" s="14">
        <f t="shared" si="5"/>
        <v>19327</v>
      </c>
      <c r="O14" t="str">
        <f t="shared" si="6"/>
        <v>Low</v>
      </c>
    </row>
    <row r="15" spans="1:15">
      <c r="A15" s="8" t="s">
        <v>23</v>
      </c>
      <c r="B15" t="str">
        <f>_xlfn.XLOOKUP(Table3[[#This Row],[Emp_ID]],Table1[Emp_ID],Table1[Full_Name ])</f>
        <v>Vihaan</v>
      </c>
      <c r="C15" t="str">
        <f>_xlfn.XLOOKUP(Table3[[#This Row],[Emp_ID]],Table1[Emp_ID],Table1[Department])</f>
        <v>Operations</v>
      </c>
      <c r="D15" t="str">
        <f>_xlfn.XLOOKUP(Table3[[#This Row],[Emp_ID]],Table1[Emp_ID],Table1[Designation])</f>
        <v>Associate / Operator</v>
      </c>
      <c r="E15" s="14">
        <f>_xlfn.XLOOKUP(Table3[[#This Row],[Emp_ID]],Table1[Emp_ID],Table1[Basic_Salary])</f>
        <v>16500</v>
      </c>
      <c r="F15" s="14">
        <f>E15*_xlfn.XLOOKUP(Table3[[#This Row],[Emp_ID]],Table1[Emp_ID],Table1[HRA_%])</f>
        <v>3300</v>
      </c>
      <c r="G15" s="14">
        <f>E15*_xlfn.XLOOKUP(Table3[[#This Row],[Emp_ID]],Table1[Emp_ID],Table1[DA_%])</f>
        <v>1320</v>
      </c>
      <c r="H15" s="14">
        <f t="shared" si="0"/>
        <v>21120</v>
      </c>
      <c r="I15" s="14">
        <f t="shared" si="1"/>
        <v>1980</v>
      </c>
      <c r="J15" s="14">
        <f t="shared" si="2"/>
        <v>0</v>
      </c>
      <c r="K15" s="14">
        <f t="shared" si="3"/>
        <v>300</v>
      </c>
      <c r="L15" s="14">
        <f>ROUND((E15/26)*_xlfn.XLOOKUP(Table3[[#This Row],[Emp_ID]],Table2[Emp_ID],Table2[Total Absent]),0)</f>
        <v>635</v>
      </c>
      <c r="M15" s="14">
        <f t="shared" si="4"/>
        <v>2915</v>
      </c>
      <c r="N15" s="14">
        <f t="shared" si="5"/>
        <v>18205</v>
      </c>
      <c r="O15" t="str">
        <f t="shared" si="6"/>
        <v>Low</v>
      </c>
    </row>
    <row r="16" spans="1:15">
      <c r="A16" s="7" t="s">
        <v>24</v>
      </c>
      <c r="B16" t="str">
        <f>_xlfn.XLOOKUP(Table3[[#This Row],[Emp_ID]],Table1[Emp_ID],Table1[Full_Name ])</f>
        <v>Dhruv</v>
      </c>
      <c r="C16" t="str">
        <f>_xlfn.XLOOKUP(Table3[[#This Row],[Emp_ID]],Table1[Emp_ID],Table1[Department])</f>
        <v>Operations</v>
      </c>
      <c r="D16" t="str">
        <f>_xlfn.XLOOKUP(Table3[[#This Row],[Emp_ID]],Table1[Emp_ID],Table1[Designation])</f>
        <v>Executive</v>
      </c>
      <c r="E16" s="14">
        <f>_xlfn.XLOOKUP(Table3[[#This Row],[Emp_ID]],Table1[Emp_ID],Table1[Basic_Salary])</f>
        <v>24000</v>
      </c>
      <c r="F16" s="14">
        <f>E16*_xlfn.XLOOKUP(Table3[[#This Row],[Emp_ID]],Table1[Emp_ID],Table1[HRA_%])</f>
        <v>7200</v>
      </c>
      <c r="G16" s="14">
        <f>E16*_xlfn.XLOOKUP(Table3[[#This Row],[Emp_ID]],Table1[Emp_ID],Table1[DA_%])</f>
        <v>2400</v>
      </c>
      <c r="H16" s="14">
        <f t="shared" si="0"/>
        <v>33600</v>
      </c>
      <c r="I16" s="14">
        <f t="shared" si="1"/>
        <v>2880</v>
      </c>
      <c r="J16" s="14">
        <f t="shared" si="2"/>
        <v>0</v>
      </c>
      <c r="K16" s="14">
        <f t="shared" si="3"/>
        <v>200</v>
      </c>
      <c r="L16" s="14">
        <f>ROUND((E16/26)*_xlfn.XLOOKUP(Table3[[#This Row],[Emp_ID]],Table2[Emp_ID],Table2[Total Absent]),0)</f>
        <v>923</v>
      </c>
      <c r="M16" s="14">
        <f t="shared" si="4"/>
        <v>4003</v>
      </c>
      <c r="N16" s="14">
        <f t="shared" si="5"/>
        <v>29597</v>
      </c>
      <c r="O16" t="str">
        <f t="shared" si="6"/>
        <v>Mid</v>
      </c>
    </row>
    <row r="17" spans="1:15">
      <c r="A17" s="8" t="s">
        <v>25</v>
      </c>
      <c r="B17" t="str">
        <f>_xlfn.XLOOKUP(Table3[[#This Row],[Emp_ID]],Table1[Emp_ID],Table1[Full_Name ])</f>
        <v>Kunal</v>
      </c>
      <c r="C17" t="str">
        <f>_xlfn.XLOOKUP(Table3[[#This Row],[Emp_ID]],Table1[Emp_ID],Table1[Department])</f>
        <v>Operations</v>
      </c>
      <c r="D17" t="str">
        <f>_xlfn.XLOOKUP(Table3[[#This Row],[Emp_ID]],Table1[Emp_ID],Table1[Designation])</f>
        <v>Associate / Operator</v>
      </c>
      <c r="E17" s="14">
        <f>_xlfn.XLOOKUP(Table3[[#This Row],[Emp_ID]],Table1[Emp_ID],Table1[Basic_Salary])</f>
        <v>15000</v>
      </c>
      <c r="F17" s="14">
        <f>E17*_xlfn.XLOOKUP(Table3[[#This Row],[Emp_ID]],Table1[Emp_ID],Table1[HRA_%])</f>
        <v>3000</v>
      </c>
      <c r="G17" s="14">
        <f>E17*_xlfn.XLOOKUP(Table3[[#This Row],[Emp_ID]],Table1[Emp_ID],Table1[DA_%])</f>
        <v>1200</v>
      </c>
      <c r="H17" s="14">
        <f t="shared" si="0"/>
        <v>19200</v>
      </c>
      <c r="I17" s="14">
        <f t="shared" si="1"/>
        <v>0</v>
      </c>
      <c r="J17" s="14">
        <f t="shared" si="2"/>
        <v>144</v>
      </c>
      <c r="K17" s="14">
        <f t="shared" si="3"/>
        <v>300</v>
      </c>
      <c r="L17" s="14">
        <f>ROUND((E17/26)*_xlfn.XLOOKUP(Table3[[#This Row],[Emp_ID]],Table2[Emp_ID],Table2[Total Absent]),0)</f>
        <v>0</v>
      </c>
      <c r="M17" s="14">
        <f t="shared" si="4"/>
        <v>444</v>
      </c>
      <c r="N17" s="14">
        <f t="shared" si="5"/>
        <v>18756</v>
      </c>
      <c r="O17" t="str">
        <f t="shared" si="6"/>
        <v>Low</v>
      </c>
    </row>
    <row r="18" spans="1:15">
      <c r="A18" s="7" t="s">
        <v>26</v>
      </c>
      <c r="B18" t="str">
        <f>_xlfn.XLOOKUP(Table3[[#This Row],[Emp_ID]],Table1[Emp_ID],Table1[Full_Name ])</f>
        <v>Yash</v>
      </c>
      <c r="C18" t="str">
        <f>_xlfn.XLOOKUP(Table3[[#This Row],[Emp_ID]],Table1[Emp_ID],Table1[Department])</f>
        <v>Operations</v>
      </c>
      <c r="D18" t="str">
        <f>_xlfn.XLOOKUP(Table3[[#This Row],[Emp_ID]],Table1[Emp_ID],Table1[Designation])</f>
        <v>Associate / Operator</v>
      </c>
      <c r="E18" s="14">
        <f>_xlfn.XLOOKUP(Table3[[#This Row],[Emp_ID]],Table1[Emp_ID],Table1[Basic_Salary])</f>
        <v>15500</v>
      </c>
      <c r="F18" s="14">
        <f>E18*_xlfn.XLOOKUP(Table3[[#This Row],[Emp_ID]],Table1[Emp_ID],Table1[HRA_%])</f>
        <v>3100</v>
      </c>
      <c r="G18" s="14">
        <f>E18*_xlfn.XLOOKUP(Table3[[#This Row],[Emp_ID]],Table1[Emp_ID],Table1[DA_%])</f>
        <v>1240</v>
      </c>
      <c r="H18" s="14">
        <f t="shared" si="0"/>
        <v>19840</v>
      </c>
      <c r="I18" s="14">
        <f t="shared" si="1"/>
        <v>1860</v>
      </c>
      <c r="J18" s="14">
        <f t="shared" si="2"/>
        <v>149</v>
      </c>
      <c r="K18" s="14">
        <f t="shared" si="3"/>
        <v>300</v>
      </c>
      <c r="L18" s="14">
        <f>ROUND((E18/26)*_xlfn.XLOOKUP(Table3[[#This Row],[Emp_ID]],Table2[Emp_ID],Table2[Total Absent]),0)</f>
        <v>0</v>
      </c>
      <c r="M18" s="14">
        <f t="shared" si="4"/>
        <v>2309</v>
      </c>
      <c r="N18" s="14">
        <f t="shared" si="5"/>
        <v>17531</v>
      </c>
      <c r="O18" t="str">
        <f t="shared" si="6"/>
        <v>Low</v>
      </c>
    </row>
    <row r="19" spans="1:15">
      <c r="A19" s="8" t="s">
        <v>27</v>
      </c>
      <c r="B19" t="str">
        <f>_xlfn.XLOOKUP(Table3[[#This Row],[Emp_ID]],Table1[Emp_ID],Table1[Full_Name ])</f>
        <v>Siddharth</v>
      </c>
      <c r="C19" t="str">
        <f>_xlfn.XLOOKUP(Table3[[#This Row],[Emp_ID]],Table1[Emp_ID],Table1[Department])</f>
        <v>Operations</v>
      </c>
      <c r="D19" t="str">
        <f>_xlfn.XLOOKUP(Table3[[#This Row],[Emp_ID]],Table1[Emp_ID],Table1[Designation])</f>
        <v>Associate / Operator</v>
      </c>
      <c r="E19" s="14">
        <f>_xlfn.XLOOKUP(Table3[[#This Row],[Emp_ID]],Table1[Emp_ID],Table1[Basic_Salary])</f>
        <v>16000</v>
      </c>
      <c r="F19" s="14">
        <f>E19*_xlfn.XLOOKUP(Table3[[#This Row],[Emp_ID]],Table1[Emp_ID],Table1[HRA_%])</f>
        <v>3200</v>
      </c>
      <c r="G19" s="14">
        <f>E19*_xlfn.XLOOKUP(Table3[[#This Row],[Emp_ID]],Table1[Emp_ID],Table1[DA_%])</f>
        <v>1280</v>
      </c>
      <c r="H19" s="14">
        <f t="shared" si="0"/>
        <v>20480</v>
      </c>
      <c r="I19" s="14">
        <f t="shared" si="1"/>
        <v>1920</v>
      </c>
      <c r="J19" s="14">
        <f t="shared" si="2"/>
        <v>154</v>
      </c>
      <c r="K19" s="14">
        <f t="shared" si="3"/>
        <v>300</v>
      </c>
      <c r="L19" s="14">
        <f>ROUND((E19/26)*_xlfn.XLOOKUP(Table3[[#This Row],[Emp_ID]],Table2[Emp_ID],Table2[Total Absent]),0)</f>
        <v>0</v>
      </c>
      <c r="M19" s="14">
        <f t="shared" si="4"/>
        <v>2374</v>
      </c>
      <c r="N19" s="14">
        <f t="shared" si="5"/>
        <v>18106</v>
      </c>
      <c r="O19" t="str">
        <f t="shared" si="6"/>
        <v>Low</v>
      </c>
    </row>
    <row r="20" spans="1:15">
      <c r="A20" s="7" t="s">
        <v>28</v>
      </c>
      <c r="B20" t="str">
        <f>_xlfn.XLOOKUP(Table3[[#This Row],[Emp_ID]],Table1[Emp_ID],Table1[Full_Name ])</f>
        <v>Harsh</v>
      </c>
      <c r="C20" t="str">
        <f>_xlfn.XLOOKUP(Table3[[#This Row],[Emp_ID]],Table1[Emp_ID],Table1[Department])</f>
        <v>Operations</v>
      </c>
      <c r="D20" t="str">
        <f>_xlfn.XLOOKUP(Table3[[#This Row],[Emp_ID]],Table1[Emp_ID],Table1[Designation])</f>
        <v>Senior Executive</v>
      </c>
      <c r="E20" s="14">
        <f>_xlfn.XLOOKUP(Table3[[#This Row],[Emp_ID]],Table1[Emp_ID],Table1[Basic_Salary])</f>
        <v>38000</v>
      </c>
      <c r="F20" s="14">
        <f>E20*_xlfn.XLOOKUP(Table3[[#This Row],[Emp_ID]],Table1[Emp_ID],Table1[HRA_%])</f>
        <v>13300</v>
      </c>
      <c r="G20" s="14">
        <f>E20*_xlfn.XLOOKUP(Table3[[#This Row],[Emp_ID]],Table1[Emp_ID],Table1[DA_%])</f>
        <v>4560</v>
      </c>
      <c r="H20" s="14">
        <f t="shared" si="0"/>
        <v>55860</v>
      </c>
      <c r="I20" s="14">
        <f t="shared" si="1"/>
        <v>4560</v>
      </c>
      <c r="J20" s="14">
        <f t="shared" si="2"/>
        <v>0</v>
      </c>
      <c r="K20" s="14">
        <f t="shared" si="3"/>
        <v>200</v>
      </c>
      <c r="L20" s="14">
        <f>ROUND((E20/26)*_xlfn.XLOOKUP(Table3[[#This Row],[Emp_ID]],Table2[Emp_ID],Table2[Total Absent]),0)</f>
        <v>1462</v>
      </c>
      <c r="M20" s="14">
        <f t="shared" si="4"/>
        <v>6222</v>
      </c>
      <c r="N20" s="14">
        <f t="shared" si="5"/>
        <v>49638</v>
      </c>
      <c r="O20" t="str">
        <f t="shared" si="6"/>
        <v>High</v>
      </c>
    </row>
    <row r="21" spans="1:15">
      <c r="A21" s="8" t="s">
        <v>29</v>
      </c>
      <c r="B21" t="str">
        <f>_xlfn.XLOOKUP(Table3[[#This Row],[Emp_ID]],Table1[Emp_ID],Table1[Full_Name ])</f>
        <v>Dev</v>
      </c>
      <c r="C21" t="str">
        <f>_xlfn.XLOOKUP(Table3[[#This Row],[Emp_ID]],Table1[Emp_ID],Table1[Department])</f>
        <v>Operations</v>
      </c>
      <c r="D21" t="str">
        <f>_xlfn.XLOOKUP(Table3[[#This Row],[Emp_ID]],Table1[Emp_ID],Table1[Designation])</f>
        <v>Associate / Operator</v>
      </c>
      <c r="E21" s="14">
        <f>_xlfn.XLOOKUP(Table3[[#This Row],[Emp_ID]],Table1[Emp_ID],Table1[Basic_Salary])</f>
        <v>17000</v>
      </c>
      <c r="F21" s="14">
        <f>E21*_xlfn.XLOOKUP(Table3[[#This Row],[Emp_ID]],Table1[Emp_ID],Table1[HRA_%])</f>
        <v>3400</v>
      </c>
      <c r="G21" s="14">
        <f>E21*_xlfn.XLOOKUP(Table3[[#This Row],[Emp_ID]],Table1[Emp_ID],Table1[DA_%])</f>
        <v>1360</v>
      </c>
      <c r="H21" s="14">
        <f t="shared" si="0"/>
        <v>21760</v>
      </c>
      <c r="I21" s="14">
        <f t="shared" si="1"/>
        <v>2040</v>
      </c>
      <c r="J21" s="14">
        <f t="shared" si="2"/>
        <v>0</v>
      </c>
      <c r="K21" s="14">
        <f t="shared" si="3"/>
        <v>300</v>
      </c>
      <c r="L21" s="14">
        <f>ROUND((E21/26)*_xlfn.XLOOKUP(Table3[[#This Row],[Emp_ID]],Table2[Emp_ID],Table2[Total Absent]),0)</f>
        <v>0</v>
      </c>
      <c r="M21" s="14">
        <f t="shared" si="4"/>
        <v>2340</v>
      </c>
      <c r="N21" s="14">
        <f t="shared" si="5"/>
        <v>19420</v>
      </c>
      <c r="O21" t="str">
        <f t="shared" si="6"/>
        <v>Low</v>
      </c>
    </row>
    <row r="22" spans="1:15">
      <c r="A22" s="7" t="s">
        <v>30</v>
      </c>
      <c r="B22" t="str">
        <f>_xlfn.XLOOKUP(Table3[[#This Row],[Emp_ID]],Table1[Emp_ID],Table1[Full_Name ])</f>
        <v>Ankit</v>
      </c>
      <c r="C22" t="str">
        <f>_xlfn.XLOOKUP(Table3[[#This Row],[Emp_ID]],Table1[Emp_ID],Table1[Department])</f>
        <v>Operations</v>
      </c>
      <c r="D22" t="str">
        <f>_xlfn.XLOOKUP(Table3[[#This Row],[Emp_ID]],Table1[Emp_ID],Table1[Designation])</f>
        <v>Executive</v>
      </c>
      <c r="E22" s="14">
        <f>_xlfn.XLOOKUP(Table3[[#This Row],[Emp_ID]],Table1[Emp_ID],Table1[Basic_Salary])</f>
        <v>25000</v>
      </c>
      <c r="F22" s="14">
        <f>E22*_xlfn.XLOOKUP(Table3[[#This Row],[Emp_ID]],Table1[Emp_ID],Table1[HRA_%])</f>
        <v>7500</v>
      </c>
      <c r="G22" s="14">
        <f>E22*_xlfn.XLOOKUP(Table3[[#This Row],[Emp_ID]],Table1[Emp_ID],Table1[DA_%])</f>
        <v>2500</v>
      </c>
      <c r="H22" s="14">
        <f t="shared" si="0"/>
        <v>35000</v>
      </c>
      <c r="I22" s="14">
        <f t="shared" si="1"/>
        <v>3000</v>
      </c>
      <c r="J22" s="14">
        <f t="shared" si="2"/>
        <v>0</v>
      </c>
      <c r="K22" s="14">
        <f t="shared" si="3"/>
        <v>200</v>
      </c>
      <c r="L22" s="14">
        <f>ROUND((E22/26)*_xlfn.XLOOKUP(Table3[[#This Row],[Emp_ID]],Table2[Emp_ID],Table2[Total Absent]),0)</f>
        <v>0</v>
      </c>
      <c r="M22" s="14">
        <f t="shared" si="4"/>
        <v>3200</v>
      </c>
      <c r="N22" s="14">
        <f t="shared" si="5"/>
        <v>31800</v>
      </c>
      <c r="O22" t="str">
        <f t="shared" si="6"/>
        <v>High</v>
      </c>
    </row>
    <row r="23" spans="1:15">
      <c r="A23" s="8" t="s">
        <v>31</v>
      </c>
      <c r="B23" t="str">
        <f>_xlfn.XLOOKUP(Table3[[#This Row],[Emp_ID]],Table1[Emp_ID],Table1[Full_Name ])</f>
        <v>Nikhil</v>
      </c>
      <c r="C23" t="str">
        <f>_xlfn.XLOOKUP(Table3[[#This Row],[Emp_ID]],Table1[Emp_ID],Table1[Department])</f>
        <v>Operations</v>
      </c>
      <c r="D23" t="str">
        <f>_xlfn.XLOOKUP(Table3[[#This Row],[Emp_ID]],Table1[Emp_ID],Table1[Designation])</f>
        <v>Associate / Operator</v>
      </c>
      <c r="E23" s="14">
        <f>_xlfn.XLOOKUP(Table3[[#This Row],[Emp_ID]],Table1[Emp_ID],Table1[Basic_Salary])</f>
        <v>18000</v>
      </c>
      <c r="F23" s="14">
        <f>E23*_xlfn.XLOOKUP(Table3[[#This Row],[Emp_ID]],Table1[Emp_ID],Table1[HRA_%])</f>
        <v>3600</v>
      </c>
      <c r="G23" s="14">
        <f>E23*_xlfn.XLOOKUP(Table3[[#This Row],[Emp_ID]],Table1[Emp_ID],Table1[DA_%])</f>
        <v>1440</v>
      </c>
      <c r="H23" s="14">
        <f t="shared" si="0"/>
        <v>23040</v>
      </c>
      <c r="I23" s="14">
        <f t="shared" si="1"/>
        <v>2160</v>
      </c>
      <c r="J23" s="14">
        <f t="shared" si="2"/>
        <v>0</v>
      </c>
      <c r="K23" s="14">
        <f t="shared" si="3"/>
        <v>300</v>
      </c>
      <c r="L23" s="14">
        <f>ROUND((E23/26)*_xlfn.XLOOKUP(Table3[[#This Row],[Emp_ID]],Table2[Emp_ID],Table2[Total Absent]),0)</f>
        <v>692</v>
      </c>
      <c r="M23" s="14">
        <f t="shared" si="4"/>
        <v>3152</v>
      </c>
      <c r="N23" s="14">
        <f t="shared" si="5"/>
        <v>19888</v>
      </c>
      <c r="O23" t="str">
        <f t="shared" si="6"/>
        <v>Low</v>
      </c>
    </row>
    <row r="24" spans="1:15">
      <c r="A24" s="7" t="s">
        <v>32</v>
      </c>
      <c r="B24" t="str">
        <f>_xlfn.XLOOKUP(Table3[[#This Row],[Emp_ID]],Table1[Emp_ID],Table1[Full_Name ])</f>
        <v>Rajat</v>
      </c>
      <c r="C24" t="str">
        <f>_xlfn.XLOOKUP(Table3[[#This Row],[Emp_ID]],Table1[Emp_ID],Table1[Department])</f>
        <v>Operations</v>
      </c>
      <c r="D24" t="str">
        <f>_xlfn.XLOOKUP(Table3[[#This Row],[Emp_ID]],Table1[Emp_ID],Table1[Designation])</f>
        <v>Senior Executive</v>
      </c>
      <c r="E24" s="14">
        <f>_xlfn.XLOOKUP(Table3[[#This Row],[Emp_ID]],Table1[Emp_ID],Table1[Basic_Salary])</f>
        <v>35000</v>
      </c>
      <c r="F24" s="14">
        <f>E24*_xlfn.XLOOKUP(Table3[[#This Row],[Emp_ID]],Table1[Emp_ID],Table1[HRA_%])</f>
        <v>12250</v>
      </c>
      <c r="G24" s="14">
        <f>E24*_xlfn.XLOOKUP(Table3[[#This Row],[Emp_ID]],Table1[Emp_ID],Table1[DA_%])</f>
        <v>4200</v>
      </c>
      <c r="H24" s="14">
        <f t="shared" si="0"/>
        <v>51450</v>
      </c>
      <c r="I24" s="14">
        <f t="shared" si="1"/>
        <v>4200</v>
      </c>
      <c r="J24" s="14">
        <f t="shared" si="2"/>
        <v>0</v>
      </c>
      <c r="K24" s="14">
        <f t="shared" si="3"/>
        <v>200</v>
      </c>
      <c r="L24" s="14">
        <f>ROUND((E24/26)*_xlfn.XLOOKUP(Table3[[#This Row],[Emp_ID]],Table2[Emp_ID],Table2[Total Absent]),0)</f>
        <v>0</v>
      </c>
      <c r="M24" s="14">
        <f t="shared" si="4"/>
        <v>4400</v>
      </c>
      <c r="N24" s="14">
        <f t="shared" si="5"/>
        <v>47050</v>
      </c>
      <c r="O24" t="str">
        <f t="shared" si="6"/>
        <v>High</v>
      </c>
    </row>
    <row r="25" spans="1:15">
      <c r="A25" s="8" t="s">
        <v>33</v>
      </c>
      <c r="B25" t="str">
        <f>_xlfn.XLOOKUP(Table3[[#This Row],[Emp_ID]],Table1[Emp_ID],Table1[Full_Name ])</f>
        <v>Rakesh</v>
      </c>
      <c r="C25" t="str">
        <f>_xlfn.XLOOKUP(Table3[[#This Row],[Emp_ID]],Table1[Emp_ID],Table1[Department])</f>
        <v>Operations</v>
      </c>
      <c r="D25" t="str">
        <f>_xlfn.XLOOKUP(Table3[[#This Row],[Emp_ID]],Table1[Emp_ID],Table1[Designation])</f>
        <v>Associate / Operator</v>
      </c>
      <c r="E25" s="14">
        <f>_xlfn.XLOOKUP(Table3[[#This Row],[Emp_ID]],Table1[Emp_ID],Table1[Basic_Salary])</f>
        <v>15000</v>
      </c>
      <c r="F25" s="14">
        <f>E25*_xlfn.XLOOKUP(Table3[[#This Row],[Emp_ID]],Table1[Emp_ID],Table1[HRA_%])</f>
        <v>3000</v>
      </c>
      <c r="G25" s="14">
        <f>E25*_xlfn.XLOOKUP(Table3[[#This Row],[Emp_ID]],Table1[Emp_ID],Table1[DA_%])</f>
        <v>1200</v>
      </c>
      <c r="H25" s="14">
        <f t="shared" si="0"/>
        <v>19200</v>
      </c>
      <c r="I25" s="14">
        <f t="shared" si="1"/>
        <v>0</v>
      </c>
      <c r="J25" s="14">
        <f t="shared" si="2"/>
        <v>144</v>
      </c>
      <c r="K25" s="14">
        <f t="shared" si="3"/>
        <v>300</v>
      </c>
      <c r="L25" s="14">
        <f>ROUND((E25/26)*_xlfn.XLOOKUP(Table3[[#This Row],[Emp_ID]],Table2[Emp_ID],Table2[Total Absent]),0)</f>
        <v>577</v>
      </c>
      <c r="M25" s="14">
        <f t="shared" si="4"/>
        <v>1021</v>
      </c>
      <c r="N25" s="14">
        <f t="shared" si="5"/>
        <v>18179</v>
      </c>
      <c r="O25" t="str">
        <f t="shared" si="6"/>
        <v>Low</v>
      </c>
    </row>
    <row r="26" spans="1:15">
      <c r="A26" s="7" t="s">
        <v>34</v>
      </c>
      <c r="B26" t="str">
        <f>_xlfn.XLOOKUP(Table3[[#This Row],[Emp_ID]],Table1[Emp_ID],Table1[Full_Name ])</f>
        <v>Rahul</v>
      </c>
      <c r="C26" t="str">
        <f>_xlfn.XLOOKUP(Table3[[#This Row],[Emp_ID]],Table1[Emp_ID],Table1[Department])</f>
        <v>Operations</v>
      </c>
      <c r="D26" t="str">
        <f>_xlfn.XLOOKUP(Table3[[#This Row],[Emp_ID]],Table1[Emp_ID],Table1[Designation])</f>
        <v>Associate / Operator</v>
      </c>
      <c r="E26" s="14">
        <f>_xlfn.XLOOKUP(Table3[[#This Row],[Emp_ID]],Table1[Emp_ID],Table1[Basic_Salary])</f>
        <v>14000</v>
      </c>
      <c r="F26" s="14">
        <f>E26*_xlfn.XLOOKUP(Table3[[#This Row],[Emp_ID]],Table1[Emp_ID],Table1[HRA_%])</f>
        <v>2800</v>
      </c>
      <c r="G26" s="14">
        <f>E26*_xlfn.XLOOKUP(Table3[[#This Row],[Emp_ID]],Table1[Emp_ID],Table1[DA_%])</f>
        <v>1120</v>
      </c>
      <c r="H26" s="14">
        <f t="shared" si="0"/>
        <v>17920</v>
      </c>
      <c r="I26" s="14">
        <f t="shared" si="1"/>
        <v>0</v>
      </c>
      <c r="J26" s="14">
        <f t="shared" si="2"/>
        <v>134</v>
      </c>
      <c r="K26" s="14">
        <f t="shared" si="3"/>
        <v>300</v>
      </c>
      <c r="L26" s="14">
        <f>ROUND((E26/26)*_xlfn.XLOOKUP(Table3[[#This Row],[Emp_ID]],Table2[Emp_ID],Table2[Total Absent]),0)</f>
        <v>538</v>
      </c>
      <c r="M26" s="14">
        <f t="shared" si="4"/>
        <v>972</v>
      </c>
      <c r="N26" s="14">
        <f t="shared" si="5"/>
        <v>16948</v>
      </c>
      <c r="O26" t="str">
        <f t="shared" si="6"/>
        <v>Low</v>
      </c>
    </row>
    <row r="27" spans="1:15">
      <c r="A27" s="8" t="s">
        <v>35</v>
      </c>
      <c r="B27" t="str">
        <f>_xlfn.XLOOKUP(Table3[[#This Row],[Emp_ID]],Table1[Emp_ID],Table1[Full_Name ])</f>
        <v>Amit</v>
      </c>
      <c r="C27" t="str">
        <f>_xlfn.XLOOKUP(Table3[[#This Row],[Emp_ID]],Table1[Emp_ID],Table1[Department])</f>
        <v>Operations</v>
      </c>
      <c r="D27" t="str">
        <f>_xlfn.XLOOKUP(Table3[[#This Row],[Emp_ID]],Table1[Emp_ID],Table1[Designation])</f>
        <v>Associate / Operator</v>
      </c>
      <c r="E27" s="14">
        <f>_xlfn.XLOOKUP(Table3[[#This Row],[Emp_ID]],Table1[Emp_ID],Table1[Basic_Salary])</f>
        <v>13500</v>
      </c>
      <c r="F27" s="14">
        <f>E27*_xlfn.XLOOKUP(Table3[[#This Row],[Emp_ID]],Table1[Emp_ID],Table1[HRA_%])</f>
        <v>2700</v>
      </c>
      <c r="G27" s="14">
        <f>E27*_xlfn.XLOOKUP(Table3[[#This Row],[Emp_ID]],Table1[Emp_ID],Table1[DA_%])</f>
        <v>1080</v>
      </c>
      <c r="H27" s="14">
        <f t="shared" si="0"/>
        <v>17280</v>
      </c>
      <c r="I27" s="14">
        <f t="shared" si="1"/>
        <v>0</v>
      </c>
      <c r="J27" s="14">
        <f t="shared" si="2"/>
        <v>130</v>
      </c>
      <c r="K27" s="14">
        <f t="shared" si="3"/>
        <v>300</v>
      </c>
      <c r="L27" s="14">
        <f>ROUND((E27/26)*_xlfn.XLOOKUP(Table3[[#This Row],[Emp_ID]],Table2[Emp_ID],Table2[Total Absent]),0)</f>
        <v>0</v>
      </c>
      <c r="M27" s="14">
        <f t="shared" si="4"/>
        <v>430</v>
      </c>
      <c r="N27" s="14">
        <f t="shared" si="5"/>
        <v>16850</v>
      </c>
      <c r="O27" t="str">
        <f t="shared" si="6"/>
        <v>Low</v>
      </c>
    </row>
    <row r="28" spans="1:15">
      <c r="A28" s="7" t="s">
        <v>36</v>
      </c>
      <c r="B28" t="str">
        <f>_xlfn.XLOOKUP(Table3[[#This Row],[Emp_ID]],Table1[Emp_ID],Table1[Full_Name ])</f>
        <v>Vikas</v>
      </c>
      <c r="C28" t="str">
        <f>_xlfn.XLOOKUP(Table3[[#This Row],[Emp_ID]],Table1[Emp_ID],Table1[Department])</f>
        <v>Operations</v>
      </c>
      <c r="D28" t="str">
        <f>_xlfn.XLOOKUP(Table3[[#This Row],[Emp_ID]],Table1[Emp_ID],Table1[Designation])</f>
        <v>Senior Executive</v>
      </c>
      <c r="E28" s="14">
        <f>_xlfn.XLOOKUP(Table3[[#This Row],[Emp_ID]],Table1[Emp_ID],Table1[Basic_Salary])</f>
        <v>32000</v>
      </c>
      <c r="F28" s="14">
        <f>E28*_xlfn.XLOOKUP(Table3[[#This Row],[Emp_ID]],Table1[Emp_ID],Table1[HRA_%])</f>
        <v>11200</v>
      </c>
      <c r="G28" s="14">
        <f>E28*_xlfn.XLOOKUP(Table3[[#This Row],[Emp_ID]],Table1[Emp_ID],Table1[DA_%])</f>
        <v>3840</v>
      </c>
      <c r="H28" s="14">
        <f t="shared" si="0"/>
        <v>47040</v>
      </c>
      <c r="I28" s="14">
        <f t="shared" si="1"/>
        <v>3840</v>
      </c>
      <c r="J28" s="14">
        <f t="shared" si="2"/>
        <v>0</v>
      </c>
      <c r="K28" s="14">
        <f t="shared" si="3"/>
        <v>200</v>
      </c>
      <c r="L28" s="14">
        <f>ROUND((E28/26)*_xlfn.XLOOKUP(Table3[[#This Row],[Emp_ID]],Table2[Emp_ID],Table2[Total Absent]),0)</f>
        <v>0</v>
      </c>
      <c r="M28" s="14">
        <f t="shared" si="4"/>
        <v>4040</v>
      </c>
      <c r="N28" s="14">
        <f t="shared" si="5"/>
        <v>43000</v>
      </c>
      <c r="O28" t="str">
        <f t="shared" si="6"/>
        <v>High</v>
      </c>
    </row>
    <row r="29" spans="1:15">
      <c r="A29" s="8" t="s">
        <v>37</v>
      </c>
      <c r="B29" t="str">
        <f>_xlfn.XLOOKUP(Table3[[#This Row],[Emp_ID]],Table1[Emp_ID],Table1[Full_Name ])</f>
        <v>Manish</v>
      </c>
      <c r="C29" t="str">
        <f>_xlfn.XLOOKUP(Table3[[#This Row],[Emp_ID]],Table1[Emp_ID],Table1[Department])</f>
        <v>Operations</v>
      </c>
      <c r="D29" t="str">
        <f>_xlfn.XLOOKUP(Table3[[#This Row],[Emp_ID]],Table1[Emp_ID],Table1[Designation])</f>
        <v>Associate / Operator</v>
      </c>
      <c r="E29" s="14">
        <f>_xlfn.XLOOKUP(Table3[[#This Row],[Emp_ID]],Table1[Emp_ID],Table1[Basic_Salary])</f>
        <v>17500</v>
      </c>
      <c r="F29" s="14">
        <f>E29*_xlfn.XLOOKUP(Table3[[#This Row],[Emp_ID]],Table1[Emp_ID],Table1[HRA_%])</f>
        <v>3500</v>
      </c>
      <c r="G29" s="14">
        <f>E29*_xlfn.XLOOKUP(Table3[[#This Row],[Emp_ID]],Table1[Emp_ID],Table1[DA_%])</f>
        <v>1400</v>
      </c>
      <c r="H29" s="14">
        <f t="shared" si="0"/>
        <v>22400</v>
      </c>
      <c r="I29" s="14">
        <f t="shared" si="1"/>
        <v>2100</v>
      </c>
      <c r="J29" s="14">
        <f t="shared" si="2"/>
        <v>0</v>
      </c>
      <c r="K29" s="14">
        <f t="shared" si="3"/>
        <v>300</v>
      </c>
      <c r="L29" s="14">
        <f>ROUND((E29/26)*_xlfn.XLOOKUP(Table3[[#This Row],[Emp_ID]],Table2[Emp_ID],Table2[Total Absent]),0)</f>
        <v>1346</v>
      </c>
      <c r="M29" s="14">
        <f t="shared" si="4"/>
        <v>3746</v>
      </c>
      <c r="N29" s="14">
        <f t="shared" si="5"/>
        <v>18654</v>
      </c>
      <c r="O29" t="str">
        <f t="shared" si="6"/>
        <v>Low</v>
      </c>
    </row>
    <row r="30" spans="1:15">
      <c r="A30" s="7" t="s">
        <v>38</v>
      </c>
      <c r="B30" t="str">
        <f>_xlfn.XLOOKUP(Table3[[#This Row],[Emp_ID]],Table1[Emp_ID],Table1[Full_Name ])</f>
        <v>Deepak</v>
      </c>
      <c r="C30" t="str">
        <f>_xlfn.XLOOKUP(Table3[[#This Row],[Emp_ID]],Table1[Emp_ID],Table1[Department])</f>
        <v>Operations</v>
      </c>
      <c r="D30" t="str">
        <f>_xlfn.XLOOKUP(Table3[[#This Row],[Emp_ID]],Table1[Emp_ID],Table1[Designation])</f>
        <v>Associate / Operator</v>
      </c>
      <c r="E30" s="14">
        <f>_xlfn.XLOOKUP(Table3[[#This Row],[Emp_ID]],Table1[Emp_ID],Table1[Basic_Salary])</f>
        <v>16000</v>
      </c>
      <c r="F30" s="14">
        <f>E30*_xlfn.XLOOKUP(Table3[[#This Row],[Emp_ID]],Table1[Emp_ID],Table1[HRA_%])</f>
        <v>3200</v>
      </c>
      <c r="G30" s="14">
        <f>E30*_xlfn.XLOOKUP(Table3[[#This Row],[Emp_ID]],Table1[Emp_ID],Table1[DA_%])</f>
        <v>1280</v>
      </c>
      <c r="H30" s="14">
        <f t="shared" si="0"/>
        <v>20480</v>
      </c>
      <c r="I30" s="14">
        <f t="shared" si="1"/>
        <v>1920</v>
      </c>
      <c r="J30" s="14">
        <f t="shared" si="2"/>
        <v>154</v>
      </c>
      <c r="K30" s="14">
        <f t="shared" si="3"/>
        <v>300</v>
      </c>
      <c r="L30" s="14">
        <f>ROUND((E30/26)*_xlfn.XLOOKUP(Table3[[#This Row],[Emp_ID]],Table2[Emp_ID],Table2[Total Absent]),0)</f>
        <v>615</v>
      </c>
      <c r="M30" s="14">
        <f t="shared" si="4"/>
        <v>2989</v>
      </c>
      <c r="N30" s="14">
        <f t="shared" si="5"/>
        <v>17491</v>
      </c>
      <c r="O30" t="str">
        <f t="shared" si="6"/>
        <v>Low</v>
      </c>
    </row>
    <row r="31" spans="1:15">
      <c r="A31" s="8" t="s">
        <v>39</v>
      </c>
      <c r="B31" t="str">
        <f>_xlfn.XLOOKUP(Table3[[#This Row],[Emp_ID]],Table1[Emp_ID],Table1[Full_Name ])</f>
        <v>Sandeep</v>
      </c>
      <c r="C31" t="str">
        <f>_xlfn.XLOOKUP(Table3[[#This Row],[Emp_ID]],Table1[Emp_ID],Table1[Department])</f>
        <v>Operations</v>
      </c>
      <c r="D31" t="str">
        <f>_xlfn.XLOOKUP(Table3[[#This Row],[Emp_ID]],Table1[Emp_ID],Table1[Designation])</f>
        <v>Associate / Operator</v>
      </c>
      <c r="E31" s="14">
        <f>_xlfn.XLOOKUP(Table3[[#This Row],[Emp_ID]],Table1[Emp_ID],Table1[Basic_Salary])</f>
        <v>14000</v>
      </c>
      <c r="F31" s="14">
        <f>E31*_xlfn.XLOOKUP(Table3[[#This Row],[Emp_ID]],Table1[Emp_ID],Table1[HRA_%])</f>
        <v>2800</v>
      </c>
      <c r="G31" s="14">
        <f>E31*_xlfn.XLOOKUP(Table3[[#This Row],[Emp_ID]],Table1[Emp_ID],Table1[DA_%])</f>
        <v>1120</v>
      </c>
      <c r="H31" s="14">
        <f t="shared" si="0"/>
        <v>17920</v>
      </c>
      <c r="I31" s="14">
        <f t="shared" si="1"/>
        <v>0</v>
      </c>
      <c r="J31" s="14">
        <f t="shared" si="2"/>
        <v>134</v>
      </c>
      <c r="K31" s="14">
        <f t="shared" si="3"/>
        <v>300</v>
      </c>
      <c r="L31" s="14">
        <f>ROUND((E31/26)*_xlfn.XLOOKUP(Table3[[#This Row],[Emp_ID]],Table2[Emp_ID],Table2[Total Absent]),0)</f>
        <v>538</v>
      </c>
      <c r="M31" s="14">
        <f t="shared" si="4"/>
        <v>972</v>
      </c>
      <c r="N31" s="14">
        <f t="shared" si="5"/>
        <v>16948</v>
      </c>
      <c r="O31" t="str">
        <f t="shared" si="6"/>
        <v>Low</v>
      </c>
    </row>
    <row r="32" spans="1:15">
      <c r="A32" s="7" t="s">
        <v>40</v>
      </c>
      <c r="B32" t="str">
        <f>_xlfn.XLOOKUP(Table3[[#This Row],[Emp_ID]],Table1[Emp_ID],Table1[Full_Name ])</f>
        <v>Pankaj</v>
      </c>
      <c r="C32" t="str">
        <f>_xlfn.XLOOKUP(Table3[[#This Row],[Emp_ID]],Table1[Emp_ID],Table1[Department])</f>
        <v>Operations</v>
      </c>
      <c r="D32" t="str">
        <f>_xlfn.XLOOKUP(Table3[[#This Row],[Emp_ID]],Table1[Emp_ID],Table1[Designation])</f>
        <v>Associate / Operator</v>
      </c>
      <c r="E32" s="14">
        <f>_xlfn.XLOOKUP(Table3[[#This Row],[Emp_ID]],Table1[Emp_ID],Table1[Basic_Salary])</f>
        <v>15000</v>
      </c>
      <c r="F32" s="14">
        <f>E32*_xlfn.XLOOKUP(Table3[[#This Row],[Emp_ID]],Table1[Emp_ID],Table1[HRA_%])</f>
        <v>3000</v>
      </c>
      <c r="G32" s="14">
        <f>E32*_xlfn.XLOOKUP(Table3[[#This Row],[Emp_ID]],Table1[Emp_ID],Table1[DA_%])</f>
        <v>1200</v>
      </c>
      <c r="H32" s="14">
        <f t="shared" si="0"/>
        <v>19200</v>
      </c>
      <c r="I32" s="14">
        <f t="shared" si="1"/>
        <v>0</v>
      </c>
      <c r="J32" s="14">
        <f t="shared" si="2"/>
        <v>144</v>
      </c>
      <c r="K32" s="14">
        <f t="shared" si="3"/>
        <v>300</v>
      </c>
      <c r="L32" s="14">
        <f>ROUND((E32/26)*_xlfn.XLOOKUP(Table3[[#This Row],[Emp_ID]],Table2[Emp_ID],Table2[Total Absent]),0)</f>
        <v>0</v>
      </c>
      <c r="M32" s="14">
        <f t="shared" si="4"/>
        <v>444</v>
      </c>
      <c r="N32" s="14">
        <f t="shared" si="5"/>
        <v>18756</v>
      </c>
      <c r="O32" t="str">
        <f t="shared" si="6"/>
        <v>Low</v>
      </c>
    </row>
    <row r="33" spans="1:15">
      <c r="A33" s="8" t="s">
        <v>41</v>
      </c>
      <c r="B33" t="str">
        <f>_xlfn.XLOOKUP(Table3[[#This Row],[Emp_ID]],Table1[Emp_ID],Table1[Full_Name ])</f>
        <v>Gaurav</v>
      </c>
      <c r="C33" t="str">
        <f>_xlfn.XLOOKUP(Table3[[#This Row],[Emp_ID]],Table1[Emp_ID],Table1[Department])</f>
        <v>Operations</v>
      </c>
      <c r="D33" t="str">
        <f>_xlfn.XLOOKUP(Table3[[#This Row],[Emp_ID]],Table1[Emp_ID],Table1[Designation])</f>
        <v>Executive</v>
      </c>
      <c r="E33" s="14">
        <f>_xlfn.XLOOKUP(Table3[[#This Row],[Emp_ID]],Table1[Emp_ID],Table1[Basic_Salary])</f>
        <v>28000</v>
      </c>
      <c r="F33" s="14">
        <f>E33*_xlfn.XLOOKUP(Table3[[#This Row],[Emp_ID]],Table1[Emp_ID],Table1[HRA_%])</f>
        <v>8400</v>
      </c>
      <c r="G33" s="14">
        <f>E33*_xlfn.XLOOKUP(Table3[[#This Row],[Emp_ID]],Table1[Emp_ID],Table1[DA_%])</f>
        <v>2800</v>
      </c>
      <c r="H33" s="14">
        <f t="shared" si="0"/>
        <v>39200</v>
      </c>
      <c r="I33" s="14">
        <f t="shared" si="1"/>
        <v>3360</v>
      </c>
      <c r="J33" s="14">
        <f t="shared" si="2"/>
        <v>0</v>
      </c>
      <c r="K33" s="14">
        <f t="shared" si="3"/>
        <v>200</v>
      </c>
      <c r="L33" s="14">
        <f>ROUND((E33/26)*_xlfn.XLOOKUP(Table3[[#This Row],[Emp_ID]],Table2[Emp_ID],Table2[Total Absent]),0)</f>
        <v>0</v>
      </c>
      <c r="M33" s="14">
        <f t="shared" si="4"/>
        <v>3560</v>
      </c>
      <c r="N33" s="14">
        <f t="shared" si="5"/>
        <v>35640</v>
      </c>
      <c r="O33" t="str">
        <f t="shared" si="6"/>
        <v>High</v>
      </c>
    </row>
    <row r="34" spans="1:15">
      <c r="A34" s="7" t="s">
        <v>42</v>
      </c>
      <c r="B34" t="str">
        <f>_xlfn.XLOOKUP(Table3[[#This Row],[Emp_ID]],Table1[Emp_ID],Table1[Full_Name ])</f>
        <v>Abhishek</v>
      </c>
      <c r="C34" t="str">
        <f>_xlfn.XLOOKUP(Table3[[#This Row],[Emp_ID]],Table1[Emp_ID],Table1[Department])</f>
        <v>Operations</v>
      </c>
      <c r="D34" t="str">
        <f>_xlfn.XLOOKUP(Table3[[#This Row],[Emp_ID]],Table1[Emp_ID],Table1[Designation])</f>
        <v>Associate / Operator</v>
      </c>
      <c r="E34" s="14">
        <f>_xlfn.XLOOKUP(Table3[[#This Row],[Emp_ID]],Table1[Emp_ID],Table1[Basic_Salary])</f>
        <v>17000</v>
      </c>
      <c r="F34" s="14">
        <f>E34*_xlfn.XLOOKUP(Table3[[#This Row],[Emp_ID]],Table1[Emp_ID],Table1[HRA_%])</f>
        <v>3400</v>
      </c>
      <c r="G34" s="14">
        <f>E34*_xlfn.XLOOKUP(Table3[[#This Row],[Emp_ID]],Table1[Emp_ID],Table1[DA_%])</f>
        <v>1360</v>
      </c>
      <c r="H34" s="14">
        <f t="shared" ref="H34:H65" si="7">E34+F34+G34</f>
        <v>21760</v>
      </c>
      <c r="I34" s="14">
        <f t="shared" ref="I34:I65" si="8">IF(E34&gt;15000,ROUND(E34*0.12,0),0)</f>
        <v>2040</v>
      </c>
      <c r="J34" s="14">
        <f t="shared" ref="J34:J65" si="9">IF(H34&lt;21000,ROUND(H34*0.0075,0),0)</f>
        <v>0</v>
      </c>
      <c r="K34" s="14">
        <f t="shared" ref="K34:K65" si="10">IF(H34&lt;=10000,0,IF(H34&lt;=15000,150,IF(H34&lt;=25000,300,200)))</f>
        <v>300</v>
      </c>
      <c r="L34" s="14">
        <f>ROUND((E34/26)*_xlfn.XLOOKUP(Table3[[#This Row],[Emp_ID]],Table2[Emp_ID],Table2[Total Absent]),0)</f>
        <v>654</v>
      </c>
      <c r="M34" s="14">
        <f t="shared" ref="M34:M65" si="11">I34+J34+K34+L34</f>
        <v>2994</v>
      </c>
      <c r="N34" s="14">
        <f t="shared" ref="N34:N65" si="12">H34-M34</f>
        <v>18766</v>
      </c>
      <c r="O34" t="str">
        <f t="shared" ref="O34:O65" si="13">IF(N34&gt;=30000,"High",IF(N34&gt;=20000,"Mid",IF(N34&gt;=12000,"Low","Review")))</f>
        <v>Low</v>
      </c>
    </row>
    <row r="35" spans="1:15">
      <c r="A35" s="8" t="s">
        <v>43</v>
      </c>
      <c r="B35" t="str">
        <f>_xlfn.XLOOKUP(Table3[[#This Row],[Emp_ID]],Table1[Emp_ID],Table1[Full_Name ])</f>
        <v>Varun</v>
      </c>
      <c r="C35" t="str">
        <f>_xlfn.XLOOKUP(Table3[[#This Row],[Emp_ID]],Table1[Emp_ID],Table1[Department])</f>
        <v>Warehouse</v>
      </c>
      <c r="D35" t="str">
        <f>_xlfn.XLOOKUP(Table3[[#This Row],[Emp_ID]],Table1[Emp_ID],Table1[Designation])</f>
        <v>Associate / Operator</v>
      </c>
      <c r="E35" s="14">
        <f>_xlfn.XLOOKUP(Table3[[#This Row],[Emp_ID]],Table1[Emp_ID],Table1[Basic_Salary])</f>
        <v>12000</v>
      </c>
      <c r="F35" s="14">
        <f>E35*_xlfn.XLOOKUP(Table3[[#This Row],[Emp_ID]],Table1[Emp_ID],Table1[HRA_%])</f>
        <v>2400</v>
      </c>
      <c r="G35" s="14">
        <f>E35*_xlfn.XLOOKUP(Table3[[#This Row],[Emp_ID]],Table1[Emp_ID],Table1[DA_%])</f>
        <v>960</v>
      </c>
      <c r="H35" s="14">
        <f t="shared" si="7"/>
        <v>15360</v>
      </c>
      <c r="I35" s="14">
        <f t="shared" si="8"/>
        <v>0</v>
      </c>
      <c r="J35" s="14">
        <f t="shared" si="9"/>
        <v>115</v>
      </c>
      <c r="K35" s="14">
        <f t="shared" si="10"/>
        <v>300</v>
      </c>
      <c r="L35" s="14">
        <f>ROUND((E35/26)*_xlfn.XLOOKUP(Table3[[#This Row],[Emp_ID]],Table2[Emp_ID],Table2[Total Absent]),0)</f>
        <v>0</v>
      </c>
      <c r="M35" s="14">
        <f t="shared" si="11"/>
        <v>415</v>
      </c>
      <c r="N35" s="14">
        <f t="shared" si="12"/>
        <v>14945</v>
      </c>
      <c r="O35" t="str">
        <f t="shared" si="13"/>
        <v>Low</v>
      </c>
    </row>
    <row r="36" spans="1:15">
      <c r="A36" s="7" t="s">
        <v>44</v>
      </c>
      <c r="B36" t="str">
        <f>_xlfn.XLOOKUP(Table3[[#This Row],[Emp_ID]],Table1[Emp_ID],Table1[Full_Name ])</f>
        <v>Tarun</v>
      </c>
      <c r="C36" t="str">
        <f>_xlfn.XLOOKUP(Table3[[#This Row],[Emp_ID]],Table1[Emp_ID],Table1[Department])</f>
        <v>Warehouse</v>
      </c>
      <c r="D36" t="str">
        <f>_xlfn.XLOOKUP(Table3[[#This Row],[Emp_ID]],Table1[Emp_ID],Table1[Designation])</f>
        <v>Associate / Operator</v>
      </c>
      <c r="E36" s="14">
        <f>_xlfn.XLOOKUP(Table3[[#This Row],[Emp_ID]],Table1[Emp_ID],Table1[Basic_Salary])</f>
        <v>15000</v>
      </c>
      <c r="F36" s="14">
        <f>E36*_xlfn.XLOOKUP(Table3[[#This Row],[Emp_ID]],Table1[Emp_ID],Table1[HRA_%])</f>
        <v>3000</v>
      </c>
      <c r="G36" s="14">
        <f>E36*_xlfn.XLOOKUP(Table3[[#This Row],[Emp_ID]],Table1[Emp_ID],Table1[DA_%])</f>
        <v>1200</v>
      </c>
      <c r="H36" s="14">
        <f t="shared" si="7"/>
        <v>19200</v>
      </c>
      <c r="I36" s="14">
        <f t="shared" si="8"/>
        <v>0</v>
      </c>
      <c r="J36" s="14">
        <f t="shared" si="9"/>
        <v>144</v>
      </c>
      <c r="K36" s="14">
        <f t="shared" si="10"/>
        <v>300</v>
      </c>
      <c r="L36" s="14">
        <f>ROUND((E36/26)*_xlfn.XLOOKUP(Table3[[#This Row],[Emp_ID]],Table2[Emp_ID],Table2[Total Absent]),0)</f>
        <v>0</v>
      </c>
      <c r="M36" s="14">
        <f t="shared" si="11"/>
        <v>444</v>
      </c>
      <c r="N36" s="14">
        <f t="shared" si="12"/>
        <v>18756</v>
      </c>
      <c r="O36" t="str">
        <f t="shared" si="13"/>
        <v>Low</v>
      </c>
    </row>
    <row r="37" spans="1:15">
      <c r="A37" s="8" t="s">
        <v>45</v>
      </c>
      <c r="B37" t="str">
        <f>_xlfn.XLOOKUP(Table3[[#This Row],[Emp_ID]],Table1[Emp_ID],Table1[Full_Name ])</f>
        <v>Neeraj</v>
      </c>
      <c r="C37" t="str">
        <f>_xlfn.XLOOKUP(Table3[[#This Row],[Emp_ID]],Table1[Emp_ID],Table1[Department])</f>
        <v>Warehouse</v>
      </c>
      <c r="D37" t="str">
        <f>_xlfn.XLOOKUP(Table3[[#This Row],[Emp_ID]],Table1[Emp_ID],Table1[Designation])</f>
        <v>Associate / Operator</v>
      </c>
      <c r="E37" s="14">
        <f>_xlfn.XLOOKUP(Table3[[#This Row],[Emp_ID]],Table1[Emp_ID],Table1[Basic_Salary])</f>
        <v>16000</v>
      </c>
      <c r="F37" s="14">
        <f>E37*_xlfn.XLOOKUP(Table3[[#This Row],[Emp_ID]],Table1[Emp_ID],Table1[HRA_%])</f>
        <v>3200</v>
      </c>
      <c r="G37" s="14">
        <f>E37*_xlfn.XLOOKUP(Table3[[#This Row],[Emp_ID]],Table1[Emp_ID],Table1[DA_%])</f>
        <v>1280</v>
      </c>
      <c r="H37" s="14">
        <f t="shared" si="7"/>
        <v>20480</v>
      </c>
      <c r="I37" s="14">
        <f t="shared" si="8"/>
        <v>1920</v>
      </c>
      <c r="J37" s="14">
        <f t="shared" si="9"/>
        <v>154</v>
      </c>
      <c r="K37" s="14">
        <f t="shared" si="10"/>
        <v>300</v>
      </c>
      <c r="L37" s="14">
        <f>ROUND((E37/26)*_xlfn.XLOOKUP(Table3[[#This Row],[Emp_ID]],Table2[Emp_ID],Table2[Total Absent]),0)</f>
        <v>615</v>
      </c>
      <c r="M37" s="14">
        <f t="shared" si="11"/>
        <v>2989</v>
      </c>
      <c r="N37" s="14">
        <f t="shared" si="12"/>
        <v>17491</v>
      </c>
      <c r="O37" t="str">
        <f t="shared" si="13"/>
        <v>Low</v>
      </c>
    </row>
    <row r="38" spans="1:15">
      <c r="A38" s="7" t="s">
        <v>46</v>
      </c>
      <c r="B38" t="str">
        <f>_xlfn.XLOOKUP(Table3[[#This Row],[Emp_ID]],Table1[Emp_ID],Table1[Full_Name ])</f>
        <v>Ajay</v>
      </c>
      <c r="C38" t="str">
        <f>_xlfn.XLOOKUP(Table3[[#This Row],[Emp_ID]],Table1[Emp_ID],Table1[Department])</f>
        <v>Warehouse</v>
      </c>
      <c r="D38" t="str">
        <f>_xlfn.XLOOKUP(Table3[[#This Row],[Emp_ID]],Table1[Emp_ID],Table1[Designation])</f>
        <v>Associate / Operator</v>
      </c>
      <c r="E38" s="14">
        <f>_xlfn.XLOOKUP(Table3[[#This Row],[Emp_ID]],Table1[Emp_ID],Table1[Basic_Salary])</f>
        <v>14000</v>
      </c>
      <c r="F38" s="14">
        <f>E38*_xlfn.XLOOKUP(Table3[[#This Row],[Emp_ID]],Table1[Emp_ID],Table1[HRA_%])</f>
        <v>2800</v>
      </c>
      <c r="G38" s="14">
        <f>E38*_xlfn.XLOOKUP(Table3[[#This Row],[Emp_ID]],Table1[Emp_ID],Table1[DA_%])</f>
        <v>1120</v>
      </c>
      <c r="H38" s="14">
        <f t="shared" si="7"/>
        <v>17920</v>
      </c>
      <c r="I38" s="14">
        <f t="shared" si="8"/>
        <v>0</v>
      </c>
      <c r="J38" s="14">
        <f t="shared" si="9"/>
        <v>134</v>
      </c>
      <c r="K38" s="14">
        <f t="shared" si="10"/>
        <v>300</v>
      </c>
      <c r="L38" s="14">
        <f>ROUND((E38/26)*_xlfn.XLOOKUP(Table3[[#This Row],[Emp_ID]],Table2[Emp_ID],Table2[Total Absent]),0)</f>
        <v>0</v>
      </c>
      <c r="M38" s="14">
        <f t="shared" si="11"/>
        <v>434</v>
      </c>
      <c r="N38" s="14">
        <f t="shared" si="12"/>
        <v>17486</v>
      </c>
      <c r="O38" t="str">
        <f t="shared" si="13"/>
        <v>Low</v>
      </c>
    </row>
    <row r="39" spans="1:15">
      <c r="A39" s="8" t="s">
        <v>47</v>
      </c>
      <c r="B39" t="str">
        <f>_xlfn.XLOOKUP(Table3[[#This Row],[Emp_ID]],Table1[Emp_ID],Table1[Full_Name ])</f>
        <v>Vijay</v>
      </c>
      <c r="C39" t="str">
        <f>_xlfn.XLOOKUP(Table3[[#This Row],[Emp_ID]],Table1[Emp_ID],Table1[Department])</f>
        <v>Warehouse</v>
      </c>
      <c r="D39" t="str">
        <f>_xlfn.XLOOKUP(Table3[[#This Row],[Emp_ID]],Table1[Emp_ID],Table1[Designation])</f>
        <v>Associate / Operator</v>
      </c>
      <c r="E39" s="14">
        <f>_xlfn.XLOOKUP(Table3[[#This Row],[Emp_ID]],Table1[Emp_ID],Table1[Basic_Salary])</f>
        <v>13000</v>
      </c>
      <c r="F39" s="14">
        <f>E39*_xlfn.XLOOKUP(Table3[[#This Row],[Emp_ID]],Table1[Emp_ID],Table1[HRA_%])</f>
        <v>2600</v>
      </c>
      <c r="G39" s="14">
        <f>E39*_xlfn.XLOOKUP(Table3[[#This Row],[Emp_ID]],Table1[Emp_ID],Table1[DA_%])</f>
        <v>1040</v>
      </c>
      <c r="H39" s="14">
        <f t="shared" si="7"/>
        <v>16640</v>
      </c>
      <c r="I39" s="14">
        <f t="shared" si="8"/>
        <v>0</v>
      </c>
      <c r="J39" s="14">
        <f t="shared" si="9"/>
        <v>125</v>
      </c>
      <c r="K39" s="14">
        <f t="shared" si="10"/>
        <v>300</v>
      </c>
      <c r="L39" s="14">
        <f>ROUND((E39/26)*_xlfn.XLOOKUP(Table3[[#This Row],[Emp_ID]],Table2[Emp_ID],Table2[Total Absent]),0)</f>
        <v>500</v>
      </c>
      <c r="M39" s="14">
        <f t="shared" si="11"/>
        <v>925</v>
      </c>
      <c r="N39" s="14">
        <f t="shared" si="12"/>
        <v>15715</v>
      </c>
      <c r="O39" t="str">
        <f t="shared" si="13"/>
        <v>Low</v>
      </c>
    </row>
    <row r="40" spans="1:15">
      <c r="A40" s="7" t="s">
        <v>48</v>
      </c>
      <c r="B40" t="str">
        <f>_xlfn.XLOOKUP(Table3[[#This Row],[Emp_ID]],Table1[Emp_ID],Table1[Full_Name ])</f>
        <v>Sunil</v>
      </c>
      <c r="C40" t="str">
        <f>_xlfn.XLOOKUP(Table3[[#This Row],[Emp_ID]],Table1[Emp_ID],Table1[Department])</f>
        <v>Warehouse</v>
      </c>
      <c r="D40" t="str">
        <f>_xlfn.XLOOKUP(Table3[[#This Row],[Emp_ID]],Table1[Emp_ID],Table1[Designation])</f>
        <v>Associate / Operator</v>
      </c>
      <c r="E40" s="14">
        <f>_xlfn.XLOOKUP(Table3[[#This Row],[Emp_ID]],Table1[Emp_ID],Table1[Basic_Salary])</f>
        <v>16000</v>
      </c>
      <c r="F40" s="14">
        <f>E40*_xlfn.XLOOKUP(Table3[[#This Row],[Emp_ID]],Table1[Emp_ID],Table1[HRA_%])</f>
        <v>0</v>
      </c>
      <c r="G40" s="14">
        <f>E40*_xlfn.XLOOKUP(Table3[[#This Row],[Emp_ID]],Table1[Emp_ID],Table1[DA_%])</f>
        <v>1280</v>
      </c>
      <c r="H40" s="14">
        <f t="shared" si="7"/>
        <v>17280</v>
      </c>
      <c r="I40" s="14">
        <f t="shared" si="8"/>
        <v>1920</v>
      </c>
      <c r="J40" s="14">
        <f t="shared" si="9"/>
        <v>130</v>
      </c>
      <c r="K40" s="14">
        <f t="shared" si="10"/>
        <v>300</v>
      </c>
      <c r="L40" s="14">
        <f>ROUND((E40/26)*_xlfn.XLOOKUP(Table3[[#This Row],[Emp_ID]],Table2[Emp_ID],Table2[Total Absent]),0)</f>
        <v>0</v>
      </c>
      <c r="M40" s="14">
        <f t="shared" si="11"/>
        <v>2350</v>
      </c>
      <c r="N40" s="14">
        <f t="shared" si="12"/>
        <v>14930</v>
      </c>
      <c r="O40" t="str">
        <f t="shared" si="13"/>
        <v>Low</v>
      </c>
    </row>
    <row r="41" spans="1:15">
      <c r="A41" s="8" t="s">
        <v>49</v>
      </c>
      <c r="B41" t="str">
        <f>_xlfn.XLOOKUP(Table3[[#This Row],[Emp_ID]],Table1[Emp_ID],Table1[Full_Name ])</f>
        <v>Anil</v>
      </c>
      <c r="C41" t="str">
        <f>_xlfn.XLOOKUP(Table3[[#This Row],[Emp_ID]],Table1[Emp_ID],Table1[Department])</f>
        <v>Warehouse</v>
      </c>
      <c r="D41" t="str">
        <f>_xlfn.XLOOKUP(Table3[[#This Row],[Emp_ID]],Table1[Emp_ID],Table1[Designation])</f>
        <v>Senior Executive</v>
      </c>
      <c r="E41" s="14">
        <f>_xlfn.XLOOKUP(Table3[[#This Row],[Emp_ID]],Table1[Emp_ID],Table1[Basic_Salary])</f>
        <v>36000</v>
      </c>
      <c r="F41" s="14">
        <f>E41*_xlfn.XLOOKUP(Table3[[#This Row],[Emp_ID]],Table1[Emp_ID],Table1[HRA_%])</f>
        <v>10800</v>
      </c>
      <c r="G41" s="14">
        <f>E41*_xlfn.XLOOKUP(Table3[[#This Row],[Emp_ID]],Table1[Emp_ID],Table1[DA_%])</f>
        <v>4320</v>
      </c>
      <c r="H41" s="14">
        <f t="shared" si="7"/>
        <v>51120</v>
      </c>
      <c r="I41" s="14">
        <f t="shared" si="8"/>
        <v>4320</v>
      </c>
      <c r="J41" s="14">
        <f t="shared" si="9"/>
        <v>0</v>
      </c>
      <c r="K41" s="14">
        <f t="shared" si="10"/>
        <v>200</v>
      </c>
      <c r="L41" s="14">
        <f>ROUND((E41/26)*_xlfn.XLOOKUP(Table3[[#This Row],[Emp_ID]],Table2[Emp_ID],Table2[Total Absent]),0)</f>
        <v>0</v>
      </c>
      <c r="M41" s="14">
        <f t="shared" si="11"/>
        <v>4520</v>
      </c>
      <c r="N41" s="14">
        <f t="shared" si="12"/>
        <v>46600</v>
      </c>
      <c r="O41" t="str">
        <f t="shared" si="13"/>
        <v>High</v>
      </c>
    </row>
    <row r="42" spans="1:15">
      <c r="A42" s="7" t="s">
        <v>50</v>
      </c>
      <c r="B42" t="str">
        <f>_xlfn.XLOOKUP(Table3[[#This Row],[Emp_ID]],Table1[Emp_ID],Table1[Full_Name ])</f>
        <v>Mukesh</v>
      </c>
      <c r="C42" t="str">
        <f>_xlfn.XLOOKUP(Table3[[#This Row],[Emp_ID]],Table1[Emp_ID],Table1[Department])</f>
        <v>Warehouse</v>
      </c>
      <c r="D42" t="str">
        <f>_xlfn.XLOOKUP(Table3[[#This Row],[Emp_ID]],Table1[Emp_ID],Table1[Designation])</f>
        <v>Executive</v>
      </c>
      <c r="E42" s="14">
        <f>_xlfn.XLOOKUP(Table3[[#This Row],[Emp_ID]],Table1[Emp_ID],Table1[Basic_Salary])</f>
        <v>22000</v>
      </c>
      <c r="F42" s="14">
        <f>E42*_xlfn.XLOOKUP(Table3[[#This Row],[Emp_ID]],Table1[Emp_ID],Table1[HRA_%])</f>
        <v>6600</v>
      </c>
      <c r="G42" s="14">
        <f>E42*_xlfn.XLOOKUP(Table3[[#This Row],[Emp_ID]],Table1[Emp_ID],Table1[DA_%])</f>
        <v>2200</v>
      </c>
      <c r="H42" s="14">
        <f t="shared" si="7"/>
        <v>30800</v>
      </c>
      <c r="I42" s="14">
        <f t="shared" si="8"/>
        <v>2640</v>
      </c>
      <c r="J42" s="14">
        <f t="shared" si="9"/>
        <v>0</v>
      </c>
      <c r="K42" s="14">
        <f t="shared" si="10"/>
        <v>200</v>
      </c>
      <c r="L42" s="14">
        <f>ROUND((E42/26)*_xlfn.XLOOKUP(Table3[[#This Row],[Emp_ID]],Table2[Emp_ID],Table2[Total Absent]),0)</f>
        <v>846</v>
      </c>
      <c r="M42" s="14">
        <f t="shared" si="11"/>
        <v>3686</v>
      </c>
      <c r="N42" s="14">
        <f t="shared" si="12"/>
        <v>27114</v>
      </c>
      <c r="O42" t="str">
        <f t="shared" si="13"/>
        <v>Mid</v>
      </c>
    </row>
    <row r="43" spans="1:15">
      <c r="A43" s="8" t="s">
        <v>51</v>
      </c>
      <c r="B43" t="str">
        <f>_xlfn.XLOOKUP(Table3[[#This Row],[Emp_ID]],Table1[Emp_ID],Table1[Full_Name ])</f>
        <v>Rajesh</v>
      </c>
      <c r="C43" t="str">
        <f>_xlfn.XLOOKUP(Table3[[#This Row],[Emp_ID]],Table1[Emp_ID],Table1[Department])</f>
        <v>Warehouse</v>
      </c>
      <c r="D43" t="str">
        <f>_xlfn.XLOOKUP(Table3[[#This Row],[Emp_ID]],Table1[Emp_ID],Table1[Designation])</f>
        <v>Executive</v>
      </c>
      <c r="E43" s="14">
        <f>_xlfn.XLOOKUP(Table3[[#This Row],[Emp_ID]],Table1[Emp_ID],Table1[Basic_Salary])</f>
        <v>24000</v>
      </c>
      <c r="F43" s="14">
        <f>E43*_xlfn.XLOOKUP(Table3[[#This Row],[Emp_ID]],Table1[Emp_ID],Table1[HRA_%])</f>
        <v>7200</v>
      </c>
      <c r="G43" s="14">
        <f>E43*_xlfn.XLOOKUP(Table3[[#This Row],[Emp_ID]],Table1[Emp_ID],Table1[DA_%])</f>
        <v>2400</v>
      </c>
      <c r="H43" s="14">
        <f t="shared" si="7"/>
        <v>33600</v>
      </c>
      <c r="I43" s="14">
        <f t="shared" si="8"/>
        <v>2880</v>
      </c>
      <c r="J43" s="14">
        <f t="shared" si="9"/>
        <v>0</v>
      </c>
      <c r="K43" s="14">
        <f t="shared" si="10"/>
        <v>200</v>
      </c>
      <c r="L43" s="14">
        <f>ROUND((E43/26)*_xlfn.XLOOKUP(Table3[[#This Row],[Emp_ID]],Table2[Emp_ID],Table2[Total Absent]),0)</f>
        <v>2769</v>
      </c>
      <c r="M43" s="14">
        <f t="shared" si="11"/>
        <v>5849</v>
      </c>
      <c r="N43" s="14">
        <f t="shared" si="12"/>
        <v>27751</v>
      </c>
      <c r="O43" t="str">
        <f t="shared" si="13"/>
        <v>Mid</v>
      </c>
    </row>
    <row r="44" spans="1:15">
      <c r="A44" s="7" t="s">
        <v>52</v>
      </c>
      <c r="B44" t="str">
        <f>_xlfn.XLOOKUP(Table3[[#This Row],[Emp_ID]],Table1[Emp_ID],Table1[Full_Name ])</f>
        <v>Mahesh</v>
      </c>
      <c r="C44" t="str">
        <f>_xlfn.XLOOKUP(Table3[[#This Row],[Emp_ID]],Table1[Emp_ID],Table1[Department])</f>
        <v>Warehouse</v>
      </c>
      <c r="D44" t="str">
        <f>_xlfn.XLOOKUP(Table3[[#This Row],[Emp_ID]],Table1[Emp_ID],Table1[Designation])</f>
        <v>Executive</v>
      </c>
      <c r="E44" s="14">
        <f>_xlfn.XLOOKUP(Table3[[#This Row],[Emp_ID]],Table1[Emp_ID],Table1[Basic_Salary])</f>
        <v>21000</v>
      </c>
      <c r="F44" s="14">
        <f>E44*_xlfn.XLOOKUP(Table3[[#This Row],[Emp_ID]],Table1[Emp_ID],Table1[HRA_%])</f>
        <v>6300</v>
      </c>
      <c r="G44" s="14">
        <f>E44*_xlfn.XLOOKUP(Table3[[#This Row],[Emp_ID]],Table1[Emp_ID],Table1[DA_%])</f>
        <v>2100</v>
      </c>
      <c r="H44" s="14">
        <f t="shared" si="7"/>
        <v>29400</v>
      </c>
      <c r="I44" s="14">
        <f t="shared" si="8"/>
        <v>2520</v>
      </c>
      <c r="J44" s="14">
        <f t="shared" si="9"/>
        <v>0</v>
      </c>
      <c r="K44" s="14">
        <f t="shared" si="10"/>
        <v>200</v>
      </c>
      <c r="L44" s="14">
        <f>ROUND((E44/26)*_xlfn.XLOOKUP(Table3[[#This Row],[Emp_ID]],Table2[Emp_ID],Table2[Total Absent]),0)</f>
        <v>808</v>
      </c>
      <c r="M44" s="14">
        <f t="shared" si="11"/>
        <v>3528</v>
      </c>
      <c r="N44" s="14">
        <f t="shared" si="12"/>
        <v>25872</v>
      </c>
      <c r="O44" t="str">
        <f t="shared" si="13"/>
        <v>Mid</v>
      </c>
    </row>
    <row r="45" spans="1:15">
      <c r="A45" s="8" t="s">
        <v>53</v>
      </c>
      <c r="B45" t="str">
        <f>_xlfn.XLOOKUP(Table3[[#This Row],[Emp_ID]],Table1[Emp_ID],Table1[Full_Name ])</f>
        <v>Prakash</v>
      </c>
      <c r="C45" t="str">
        <f>_xlfn.XLOOKUP(Table3[[#This Row],[Emp_ID]],Table1[Emp_ID],Table1[Department])</f>
        <v>Warehouse</v>
      </c>
      <c r="D45" t="str">
        <f>_xlfn.XLOOKUP(Table3[[#This Row],[Emp_ID]],Table1[Emp_ID],Table1[Designation])</f>
        <v>Executive</v>
      </c>
      <c r="E45" s="14">
        <f>_xlfn.XLOOKUP(Table3[[#This Row],[Emp_ID]],Table1[Emp_ID],Table1[Basic_Salary])</f>
        <v>28000</v>
      </c>
      <c r="F45" s="14">
        <f>E45*_xlfn.XLOOKUP(Table3[[#This Row],[Emp_ID]],Table1[Emp_ID],Table1[HRA_%])</f>
        <v>8400</v>
      </c>
      <c r="G45" s="14">
        <f>E45*_xlfn.XLOOKUP(Table3[[#This Row],[Emp_ID]],Table1[Emp_ID],Table1[DA_%])</f>
        <v>2800</v>
      </c>
      <c r="H45" s="14">
        <f t="shared" si="7"/>
        <v>39200</v>
      </c>
      <c r="I45" s="14">
        <f t="shared" si="8"/>
        <v>3360</v>
      </c>
      <c r="J45" s="14">
        <f t="shared" si="9"/>
        <v>0</v>
      </c>
      <c r="K45" s="14">
        <f t="shared" si="10"/>
        <v>200</v>
      </c>
      <c r="L45" s="14">
        <f>ROUND((E45/26)*_xlfn.XLOOKUP(Table3[[#This Row],[Emp_ID]],Table2[Emp_ID],Table2[Total Absent]),0)</f>
        <v>0</v>
      </c>
      <c r="M45" s="14">
        <f t="shared" si="11"/>
        <v>3560</v>
      </c>
      <c r="N45" s="14">
        <f t="shared" si="12"/>
        <v>35640</v>
      </c>
      <c r="O45" t="str">
        <f t="shared" si="13"/>
        <v>High</v>
      </c>
    </row>
    <row r="46" spans="1:15">
      <c r="A46" s="7" t="s">
        <v>54</v>
      </c>
      <c r="B46" t="str">
        <f>_xlfn.XLOOKUP(Table3[[#This Row],[Emp_ID]],Table1[Emp_ID],Table1[Full_Name ])</f>
        <v>Shivam</v>
      </c>
      <c r="C46" t="str">
        <f>_xlfn.XLOOKUP(Table3[[#This Row],[Emp_ID]],Table1[Emp_ID],Table1[Department])</f>
        <v>Warehouse</v>
      </c>
      <c r="D46" t="str">
        <f>_xlfn.XLOOKUP(Table3[[#This Row],[Emp_ID]],Table1[Emp_ID],Table1[Designation])</f>
        <v>Executive</v>
      </c>
      <c r="E46" s="14">
        <f>_xlfn.XLOOKUP(Table3[[#This Row],[Emp_ID]],Table1[Emp_ID],Table1[Basic_Salary])</f>
        <v>23000</v>
      </c>
      <c r="F46" s="14">
        <f>E46*_xlfn.XLOOKUP(Table3[[#This Row],[Emp_ID]],Table1[Emp_ID],Table1[HRA_%])</f>
        <v>6900</v>
      </c>
      <c r="G46" s="14">
        <f>E46*_xlfn.XLOOKUP(Table3[[#This Row],[Emp_ID]],Table1[Emp_ID],Table1[DA_%])</f>
        <v>2300</v>
      </c>
      <c r="H46" s="14">
        <f t="shared" si="7"/>
        <v>32200</v>
      </c>
      <c r="I46" s="14">
        <f t="shared" si="8"/>
        <v>2760</v>
      </c>
      <c r="J46" s="14">
        <f t="shared" si="9"/>
        <v>0</v>
      </c>
      <c r="K46" s="14">
        <f t="shared" si="10"/>
        <v>200</v>
      </c>
      <c r="L46" s="14">
        <f>ROUND((E46/26)*_xlfn.XLOOKUP(Table3[[#This Row],[Emp_ID]],Table2[Emp_ID],Table2[Total Absent]),0)</f>
        <v>0</v>
      </c>
      <c r="M46" s="14">
        <f t="shared" si="11"/>
        <v>2960</v>
      </c>
      <c r="N46" s="14">
        <f t="shared" si="12"/>
        <v>29240</v>
      </c>
      <c r="O46" t="str">
        <f t="shared" si="13"/>
        <v>Mid</v>
      </c>
    </row>
    <row r="47" spans="1:15">
      <c r="A47" s="8" t="s">
        <v>55</v>
      </c>
      <c r="B47" t="str">
        <f>_xlfn.XLOOKUP(Table3[[#This Row],[Emp_ID]],Table1[Emp_ID],Table1[Full_Name ])</f>
        <v>Om</v>
      </c>
      <c r="C47" t="str">
        <f>_xlfn.XLOOKUP(Table3[[#This Row],[Emp_ID]],Table1[Emp_ID],Table1[Department])</f>
        <v>Warehouse</v>
      </c>
      <c r="D47" t="str">
        <f>_xlfn.XLOOKUP(Table3[[#This Row],[Emp_ID]],Table1[Emp_ID],Table1[Designation])</f>
        <v>Senior Executive</v>
      </c>
      <c r="E47" s="14">
        <f>_xlfn.XLOOKUP(Table3[[#This Row],[Emp_ID]],Table1[Emp_ID],Table1[Basic_Salary])</f>
        <v>33000</v>
      </c>
      <c r="F47" s="14">
        <f>E47*_xlfn.XLOOKUP(Table3[[#This Row],[Emp_ID]],Table1[Emp_ID],Table1[HRA_%])</f>
        <v>11550</v>
      </c>
      <c r="G47" s="14">
        <f>E47*_xlfn.XLOOKUP(Table3[[#This Row],[Emp_ID]],Table1[Emp_ID],Table1[DA_%])</f>
        <v>3960</v>
      </c>
      <c r="H47" s="14">
        <f t="shared" si="7"/>
        <v>48510</v>
      </c>
      <c r="I47" s="14">
        <f t="shared" si="8"/>
        <v>3960</v>
      </c>
      <c r="J47" s="14">
        <f t="shared" si="9"/>
        <v>0</v>
      </c>
      <c r="K47" s="14">
        <f t="shared" si="10"/>
        <v>200</v>
      </c>
      <c r="L47" s="14">
        <f>ROUND((E47/26)*_xlfn.XLOOKUP(Table3[[#This Row],[Emp_ID]],Table2[Emp_ID],Table2[Total Absent]),0)</f>
        <v>1269</v>
      </c>
      <c r="M47" s="14">
        <f t="shared" si="11"/>
        <v>5429</v>
      </c>
      <c r="N47" s="14">
        <f t="shared" si="12"/>
        <v>43081</v>
      </c>
      <c r="O47" t="str">
        <f t="shared" si="13"/>
        <v>High</v>
      </c>
    </row>
    <row r="48" spans="1:15">
      <c r="A48" s="7" t="s">
        <v>56</v>
      </c>
      <c r="B48" t="str">
        <f>_xlfn.XLOOKUP(Table3[[#This Row],[Emp_ID]],Table1[Emp_ID],Table1[Full_Name ])</f>
        <v>Akash</v>
      </c>
      <c r="C48" t="str">
        <f>_xlfn.XLOOKUP(Table3[[#This Row],[Emp_ID]],Table1[Emp_ID],Table1[Department])</f>
        <v>Warehouse</v>
      </c>
      <c r="D48" t="str">
        <f>_xlfn.XLOOKUP(Table3[[#This Row],[Emp_ID]],Table1[Emp_ID],Table1[Designation])</f>
        <v>Associate / Operator</v>
      </c>
      <c r="E48" s="14">
        <f>_xlfn.XLOOKUP(Table3[[#This Row],[Emp_ID]],Table1[Emp_ID],Table1[Basic_Salary])</f>
        <v>13000</v>
      </c>
      <c r="F48" s="14">
        <f>E48*_xlfn.XLOOKUP(Table3[[#This Row],[Emp_ID]],Table1[Emp_ID],Table1[HRA_%])</f>
        <v>2600</v>
      </c>
      <c r="G48" s="14">
        <f>E48*_xlfn.XLOOKUP(Table3[[#This Row],[Emp_ID]],Table1[Emp_ID],Table1[DA_%])</f>
        <v>1040</v>
      </c>
      <c r="H48" s="14">
        <f t="shared" si="7"/>
        <v>16640</v>
      </c>
      <c r="I48" s="14">
        <f t="shared" si="8"/>
        <v>0</v>
      </c>
      <c r="J48" s="14">
        <f t="shared" si="9"/>
        <v>125</v>
      </c>
      <c r="K48" s="14">
        <f t="shared" si="10"/>
        <v>300</v>
      </c>
      <c r="L48" s="14">
        <f>ROUND((E48/26)*_xlfn.XLOOKUP(Table3[[#This Row],[Emp_ID]],Table2[Emp_ID],Table2[Total Absent]),0)</f>
        <v>1000</v>
      </c>
      <c r="M48" s="14">
        <f t="shared" si="11"/>
        <v>1425</v>
      </c>
      <c r="N48" s="14">
        <f t="shared" si="12"/>
        <v>15215</v>
      </c>
      <c r="O48" t="str">
        <f t="shared" si="13"/>
        <v>Low</v>
      </c>
    </row>
    <row r="49" spans="1:15">
      <c r="A49" s="8" t="s">
        <v>57</v>
      </c>
      <c r="B49" t="str">
        <f>_xlfn.XLOOKUP(Table3[[#This Row],[Emp_ID]],Table1[Emp_ID],Table1[Full_Name ])</f>
        <v>Kartik</v>
      </c>
      <c r="C49" t="str">
        <f>_xlfn.XLOOKUP(Table3[[#This Row],[Emp_ID]],Table1[Emp_ID],Table1[Department])</f>
        <v>Warehouse</v>
      </c>
      <c r="D49" t="str">
        <f>_xlfn.XLOOKUP(Table3[[#This Row],[Emp_ID]],Table1[Emp_ID],Table1[Designation])</f>
        <v>Associate / Operator</v>
      </c>
      <c r="E49" s="14">
        <f>_xlfn.XLOOKUP(Table3[[#This Row],[Emp_ID]],Table1[Emp_ID],Table1[Basic_Salary])</f>
        <v>14000</v>
      </c>
      <c r="F49" s="14">
        <f>E49*_xlfn.XLOOKUP(Table3[[#This Row],[Emp_ID]],Table1[Emp_ID],Table1[HRA_%])</f>
        <v>2800</v>
      </c>
      <c r="G49" s="14">
        <f>E49*_xlfn.XLOOKUP(Table3[[#This Row],[Emp_ID]],Table1[Emp_ID],Table1[DA_%])</f>
        <v>1120</v>
      </c>
      <c r="H49" s="14">
        <f t="shared" si="7"/>
        <v>17920</v>
      </c>
      <c r="I49" s="14">
        <f t="shared" si="8"/>
        <v>0</v>
      </c>
      <c r="J49" s="14">
        <f t="shared" si="9"/>
        <v>134</v>
      </c>
      <c r="K49" s="14">
        <f t="shared" si="10"/>
        <v>300</v>
      </c>
      <c r="L49" s="14">
        <f>ROUND((E49/26)*_xlfn.XLOOKUP(Table3[[#This Row],[Emp_ID]],Table2[Emp_ID],Table2[Total Absent]),0)</f>
        <v>538</v>
      </c>
      <c r="M49" s="14">
        <f t="shared" si="11"/>
        <v>972</v>
      </c>
      <c r="N49" s="14">
        <f t="shared" si="12"/>
        <v>16948</v>
      </c>
      <c r="O49" t="str">
        <f t="shared" si="13"/>
        <v>Low</v>
      </c>
    </row>
    <row r="50" spans="1:15">
      <c r="A50" s="7" t="s">
        <v>58</v>
      </c>
      <c r="B50" t="str">
        <f>_xlfn.XLOOKUP(Table3[[#This Row],[Emp_ID]],Table1[Emp_ID],Table1[Full_Name ])</f>
        <v>Aryan</v>
      </c>
      <c r="C50" t="str">
        <f>_xlfn.XLOOKUP(Table3[[#This Row],[Emp_ID]],Table1[Emp_ID],Table1[Department])</f>
        <v>Warehouse</v>
      </c>
      <c r="D50" t="str">
        <f>_xlfn.XLOOKUP(Table3[[#This Row],[Emp_ID]],Table1[Emp_ID],Table1[Designation])</f>
        <v>Associate / Operator</v>
      </c>
      <c r="E50" s="14">
        <f>_xlfn.XLOOKUP(Table3[[#This Row],[Emp_ID]],Table1[Emp_ID],Table1[Basic_Salary])</f>
        <v>16000</v>
      </c>
      <c r="F50" s="14">
        <f>E50*_xlfn.XLOOKUP(Table3[[#This Row],[Emp_ID]],Table1[Emp_ID],Table1[HRA_%])</f>
        <v>3200</v>
      </c>
      <c r="G50" s="14">
        <f>E50*_xlfn.XLOOKUP(Table3[[#This Row],[Emp_ID]],Table1[Emp_ID],Table1[DA_%])</f>
        <v>1280</v>
      </c>
      <c r="H50" s="14">
        <f t="shared" si="7"/>
        <v>20480</v>
      </c>
      <c r="I50" s="14">
        <f t="shared" si="8"/>
        <v>1920</v>
      </c>
      <c r="J50" s="14">
        <f t="shared" si="9"/>
        <v>154</v>
      </c>
      <c r="K50" s="14">
        <f t="shared" si="10"/>
        <v>300</v>
      </c>
      <c r="L50" s="14">
        <f>ROUND((E50/26)*_xlfn.XLOOKUP(Table3[[#This Row],[Emp_ID]],Table2[Emp_ID],Table2[Total Absent]),0)</f>
        <v>1231</v>
      </c>
      <c r="M50" s="14">
        <f t="shared" si="11"/>
        <v>3605</v>
      </c>
      <c r="N50" s="14">
        <f t="shared" si="12"/>
        <v>16875</v>
      </c>
      <c r="O50" t="str">
        <f t="shared" si="13"/>
        <v>Low</v>
      </c>
    </row>
    <row r="51" spans="1:15">
      <c r="A51" s="8" t="s">
        <v>59</v>
      </c>
      <c r="B51" t="str">
        <f>_xlfn.XLOOKUP(Table3[[#This Row],[Emp_ID]],Table1[Emp_ID],Table1[Full_Name ])</f>
        <v>Sagar</v>
      </c>
      <c r="C51" t="str">
        <f>_xlfn.XLOOKUP(Table3[[#This Row],[Emp_ID]],Table1[Emp_ID],Table1[Department])</f>
        <v>Warehouse</v>
      </c>
      <c r="D51" t="str">
        <f>_xlfn.XLOOKUP(Table3[[#This Row],[Emp_ID]],Table1[Emp_ID],Table1[Designation])</f>
        <v>Associate / Operator</v>
      </c>
      <c r="E51" s="14">
        <f>_xlfn.XLOOKUP(Table3[[#This Row],[Emp_ID]],Table1[Emp_ID],Table1[Basic_Salary])</f>
        <v>15000</v>
      </c>
      <c r="F51" s="14">
        <f>E51*_xlfn.XLOOKUP(Table3[[#This Row],[Emp_ID]],Table1[Emp_ID],Table1[HRA_%])</f>
        <v>3000</v>
      </c>
      <c r="G51" s="14">
        <f>E51*_xlfn.XLOOKUP(Table3[[#This Row],[Emp_ID]],Table1[Emp_ID],Table1[DA_%])</f>
        <v>1200</v>
      </c>
      <c r="H51" s="14">
        <f t="shared" si="7"/>
        <v>19200</v>
      </c>
      <c r="I51" s="14">
        <f t="shared" si="8"/>
        <v>0</v>
      </c>
      <c r="J51" s="14">
        <f t="shared" si="9"/>
        <v>144</v>
      </c>
      <c r="K51" s="14">
        <f t="shared" si="10"/>
        <v>300</v>
      </c>
      <c r="L51" s="14">
        <f>ROUND((E51/26)*_xlfn.XLOOKUP(Table3[[#This Row],[Emp_ID]],Table2[Emp_ID],Table2[Total Absent]),0)</f>
        <v>1154</v>
      </c>
      <c r="M51" s="14">
        <f t="shared" si="11"/>
        <v>1598</v>
      </c>
      <c r="N51" s="14">
        <f t="shared" si="12"/>
        <v>17602</v>
      </c>
      <c r="O51" t="str">
        <f t="shared" si="13"/>
        <v>Low</v>
      </c>
    </row>
    <row r="52" spans="1:15">
      <c r="A52" s="7" t="s">
        <v>60</v>
      </c>
      <c r="B52" t="str">
        <f>_xlfn.XLOOKUP(Table3[[#This Row],[Emp_ID]],Table1[Emp_ID],Table1[Full_Name ])</f>
        <v>Naveen</v>
      </c>
      <c r="C52" t="str">
        <f>_xlfn.XLOOKUP(Table3[[#This Row],[Emp_ID]],Table1[Emp_ID],Table1[Department])</f>
        <v>Warehouse</v>
      </c>
      <c r="D52" t="str">
        <f>_xlfn.XLOOKUP(Table3[[#This Row],[Emp_ID]],Table1[Emp_ID],Table1[Designation])</f>
        <v>Manager</v>
      </c>
      <c r="E52" s="14">
        <f>_xlfn.XLOOKUP(Table3[[#This Row],[Emp_ID]],Table1[Emp_ID],Table1[Basic_Salary])</f>
        <v>48000</v>
      </c>
      <c r="F52" s="14">
        <f>E52*_xlfn.XLOOKUP(Table3[[#This Row],[Emp_ID]],Table1[Emp_ID],Table1[HRA_%])</f>
        <v>19200</v>
      </c>
      <c r="G52" s="14">
        <f>E52*_xlfn.XLOOKUP(Table3[[#This Row],[Emp_ID]],Table1[Emp_ID],Table1[DA_%])</f>
        <v>7200</v>
      </c>
      <c r="H52" s="14">
        <f t="shared" si="7"/>
        <v>74400</v>
      </c>
      <c r="I52" s="14">
        <f t="shared" si="8"/>
        <v>5760</v>
      </c>
      <c r="J52" s="14">
        <f t="shared" si="9"/>
        <v>0</v>
      </c>
      <c r="K52" s="14">
        <f t="shared" si="10"/>
        <v>200</v>
      </c>
      <c r="L52" s="14">
        <f>ROUND((E52/26)*_xlfn.XLOOKUP(Table3[[#This Row],[Emp_ID]],Table2[Emp_ID],Table2[Total Absent]),0)</f>
        <v>0</v>
      </c>
      <c r="M52" s="14">
        <f t="shared" si="11"/>
        <v>5960</v>
      </c>
      <c r="N52" s="14">
        <f t="shared" si="12"/>
        <v>68440</v>
      </c>
      <c r="O52" t="str">
        <f t="shared" si="13"/>
        <v>High</v>
      </c>
    </row>
    <row r="53" spans="1:15">
      <c r="A53" s="8" t="s">
        <v>61</v>
      </c>
      <c r="B53" t="str">
        <f>_xlfn.XLOOKUP(Table3[[#This Row],[Emp_ID]],Table1[Emp_ID],Table1[Full_Name ])</f>
        <v>Sachin</v>
      </c>
      <c r="C53" t="str">
        <f>_xlfn.XLOOKUP(Table3[[#This Row],[Emp_ID]],Table1[Emp_ID],Table1[Department])</f>
        <v>Warehouse</v>
      </c>
      <c r="D53" t="str">
        <f>_xlfn.XLOOKUP(Table3[[#This Row],[Emp_ID]],Table1[Emp_ID],Table1[Designation])</f>
        <v>Executive</v>
      </c>
      <c r="E53" s="14">
        <f>_xlfn.XLOOKUP(Table3[[#This Row],[Emp_ID]],Table1[Emp_ID],Table1[Basic_Salary])</f>
        <v>25000</v>
      </c>
      <c r="F53" s="14">
        <f>E53*_xlfn.XLOOKUP(Table3[[#This Row],[Emp_ID]],Table1[Emp_ID],Table1[HRA_%])</f>
        <v>7500</v>
      </c>
      <c r="G53" s="14">
        <f>E53*_xlfn.XLOOKUP(Table3[[#This Row],[Emp_ID]],Table1[Emp_ID],Table1[DA_%])</f>
        <v>2500</v>
      </c>
      <c r="H53" s="14">
        <f t="shared" si="7"/>
        <v>35000</v>
      </c>
      <c r="I53" s="14">
        <f t="shared" si="8"/>
        <v>3000</v>
      </c>
      <c r="J53" s="14">
        <f t="shared" si="9"/>
        <v>0</v>
      </c>
      <c r="K53" s="14">
        <f t="shared" si="10"/>
        <v>200</v>
      </c>
      <c r="L53" s="14">
        <f>ROUND((E53/26)*_xlfn.XLOOKUP(Table3[[#This Row],[Emp_ID]],Table2[Emp_ID],Table2[Total Absent]),0)</f>
        <v>962</v>
      </c>
      <c r="M53" s="14">
        <f t="shared" si="11"/>
        <v>4162</v>
      </c>
      <c r="N53" s="14">
        <f t="shared" si="12"/>
        <v>30838</v>
      </c>
      <c r="O53" t="str">
        <f t="shared" si="13"/>
        <v>High</v>
      </c>
    </row>
    <row r="54" spans="1:15">
      <c r="A54" s="7" t="s">
        <v>62</v>
      </c>
      <c r="B54" t="str">
        <f>_xlfn.XLOOKUP(Table3[[#This Row],[Emp_ID]],Table1[Emp_ID],Table1[Full_Name ])</f>
        <v>Ravi</v>
      </c>
      <c r="C54" t="str">
        <f>_xlfn.XLOOKUP(Table3[[#This Row],[Emp_ID]],Table1[Emp_ID],Table1[Department])</f>
        <v>Warehouse</v>
      </c>
      <c r="D54" t="str">
        <f>_xlfn.XLOOKUP(Table3[[#This Row],[Emp_ID]],Table1[Emp_ID],Table1[Designation])</f>
        <v>Executive</v>
      </c>
      <c r="E54" s="14">
        <f>_xlfn.XLOOKUP(Table3[[#This Row],[Emp_ID]],Table1[Emp_ID],Table1[Basic_Salary])</f>
        <v>24000</v>
      </c>
      <c r="F54" s="14">
        <f>E54*_xlfn.XLOOKUP(Table3[[#This Row],[Emp_ID]],Table1[Emp_ID],Table1[HRA_%])</f>
        <v>7200</v>
      </c>
      <c r="G54" s="14">
        <f>E54*_xlfn.XLOOKUP(Table3[[#This Row],[Emp_ID]],Table1[Emp_ID],Table1[DA_%])</f>
        <v>2400</v>
      </c>
      <c r="H54" s="14">
        <f t="shared" si="7"/>
        <v>33600</v>
      </c>
      <c r="I54" s="14">
        <f t="shared" si="8"/>
        <v>2880</v>
      </c>
      <c r="J54" s="14">
        <f t="shared" si="9"/>
        <v>0</v>
      </c>
      <c r="K54" s="14">
        <f t="shared" si="10"/>
        <v>200</v>
      </c>
      <c r="L54" s="14">
        <f>ROUND((E54/26)*_xlfn.XLOOKUP(Table3[[#This Row],[Emp_ID]],Table2[Emp_ID],Table2[Total Absent]),0)</f>
        <v>0</v>
      </c>
      <c r="M54" s="14">
        <f t="shared" si="11"/>
        <v>3080</v>
      </c>
      <c r="N54" s="14">
        <f t="shared" si="12"/>
        <v>30520</v>
      </c>
      <c r="O54" t="str">
        <f t="shared" si="13"/>
        <v>High</v>
      </c>
    </row>
    <row r="55" spans="1:15">
      <c r="A55" s="8" t="s">
        <v>63</v>
      </c>
      <c r="B55" t="str">
        <f>_xlfn.XLOOKUP(Table3[[#This Row],[Emp_ID]],Table1[Emp_ID],Table1[Full_Name ])</f>
        <v>Suraj</v>
      </c>
      <c r="C55" t="str">
        <f>_xlfn.XLOOKUP(Table3[[#This Row],[Emp_ID]],Table1[Emp_ID],Table1[Department])</f>
        <v>Warehouse</v>
      </c>
      <c r="D55" t="str">
        <f>_xlfn.XLOOKUP(Table3[[#This Row],[Emp_ID]],Table1[Emp_ID],Table1[Designation])</f>
        <v>Associate / Operator</v>
      </c>
      <c r="E55" s="14">
        <f>_xlfn.XLOOKUP(Table3[[#This Row],[Emp_ID]],Table1[Emp_ID],Table1[Basic_Salary])</f>
        <v>12000</v>
      </c>
      <c r="F55" s="14">
        <f>E55*_xlfn.XLOOKUP(Table3[[#This Row],[Emp_ID]],Table1[Emp_ID],Table1[HRA_%])</f>
        <v>2400</v>
      </c>
      <c r="G55" s="14">
        <f>E55*_xlfn.XLOOKUP(Table3[[#This Row],[Emp_ID]],Table1[Emp_ID],Table1[DA_%])</f>
        <v>960</v>
      </c>
      <c r="H55" s="14">
        <f t="shared" si="7"/>
        <v>15360</v>
      </c>
      <c r="I55" s="14">
        <f t="shared" si="8"/>
        <v>0</v>
      </c>
      <c r="J55" s="14">
        <f t="shared" si="9"/>
        <v>115</v>
      </c>
      <c r="K55" s="14">
        <f t="shared" si="10"/>
        <v>300</v>
      </c>
      <c r="L55" s="14">
        <f>ROUND((E55/26)*_xlfn.XLOOKUP(Table3[[#This Row],[Emp_ID]],Table2[Emp_ID],Table2[Total Absent]),0)</f>
        <v>0</v>
      </c>
      <c r="M55" s="14">
        <f t="shared" si="11"/>
        <v>415</v>
      </c>
      <c r="N55" s="14">
        <f t="shared" si="12"/>
        <v>14945</v>
      </c>
      <c r="O55" t="str">
        <f t="shared" si="13"/>
        <v>Low</v>
      </c>
    </row>
    <row r="56" spans="1:15">
      <c r="A56" s="7" t="s">
        <v>64</v>
      </c>
      <c r="B56" t="str">
        <f>_xlfn.XLOOKUP(Table3[[#This Row],[Emp_ID]],Table1[Emp_ID],Table1[Full_Name ])</f>
        <v>Karan</v>
      </c>
      <c r="C56" t="str">
        <f>_xlfn.XLOOKUP(Table3[[#This Row],[Emp_ID]],Table1[Emp_ID],Table1[Department])</f>
        <v>Marketing</v>
      </c>
      <c r="D56" t="str">
        <f>_xlfn.XLOOKUP(Table3[[#This Row],[Emp_ID]],Table1[Emp_ID],Table1[Designation])</f>
        <v>Associate / Operator</v>
      </c>
      <c r="E56" s="14">
        <f>_xlfn.XLOOKUP(Table3[[#This Row],[Emp_ID]],Table1[Emp_ID],Table1[Basic_Salary])</f>
        <v>15000</v>
      </c>
      <c r="F56" s="14">
        <f>E56*_xlfn.XLOOKUP(Table3[[#This Row],[Emp_ID]],Table1[Emp_ID],Table1[HRA_%])</f>
        <v>3000</v>
      </c>
      <c r="G56" s="14">
        <f>E56*_xlfn.XLOOKUP(Table3[[#This Row],[Emp_ID]],Table1[Emp_ID],Table1[DA_%])</f>
        <v>1200</v>
      </c>
      <c r="H56" s="14">
        <f t="shared" si="7"/>
        <v>19200</v>
      </c>
      <c r="I56" s="14">
        <f t="shared" si="8"/>
        <v>0</v>
      </c>
      <c r="J56" s="14">
        <f t="shared" si="9"/>
        <v>144</v>
      </c>
      <c r="K56" s="14">
        <f t="shared" si="10"/>
        <v>300</v>
      </c>
      <c r="L56" s="14">
        <f>ROUND((E56/26)*_xlfn.XLOOKUP(Table3[[#This Row],[Emp_ID]],Table2[Emp_ID],Table2[Total Absent]),0)</f>
        <v>0</v>
      </c>
      <c r="M56" s="14">
        <f t="shared" si="11"/>
        <v>444</v>
      </c>
      <c r="N56" s="14">
        <f t="shared" si="12"/>
        <v>18756</v>
      </c>
      <c r="O56" t="str">
        <f t="shared" si="13"/>
        <v>Low</v>
      </c>
    </row>
    <row r="57" spans="1:15">
      <c r="A57" s="8" t="s">
        <v>65</v>
      </c>
      <c r="B57" t="str">
        <f>_xlfn.XLOOKUP(Table3[[#This Row],[Emp_ID]],Table1[Emp_ID],Table1[Full_Name ])</f>
        <v>Sameer</v>
      </c>
      <c r="C57" t="str">
        <f>_xlfn.XLOOKUP(Table3[[#This Row],[Emp_ID]],Table1[Emp_ID],Table1[Department])</f>
        <v>Marketing</v>
      </c>
      <c r="D57" t="str">
        <f>_xlfn.XLOOKUP(Table3[[#This Row],[Emp_ID]],Table1[Emp_ID],Table1[Designation])</f>
        <v>Associate / Operator</v>
      </c>
      <c r="E57" s="14">
        <f>_xlfn.XLOOKUP(Table3[[#This Row],[Emp_ID]],Table1[Emp_ID],Table1[Basic_Salary])</f>
        <v>13000</v>
      </c>
      <c r="F57" s="14">
        <f>E57*_xlfn.XLOOKUP(Table3[[#This Row],[Emp_ID]],Table1[Emp_ID],Table1[HRA_%])</f>
        <v>2600</v>
      </c>
      <c r="G57" s="14">
        <f>E57*_xlfn.XLOOKUP(Table3[[#This Row],[Emp_ID]],Table1[Emp_ID],Table1[DA_%])</f>
        <v>1040</v>
      </c>
      <c r="H57" s="14">
        <f t="shared" si="7"/>
        <v>16640</v>
      </c>
      <c r="I57" s="14">
        <f t="shared" si="8"/>
        <v>0</v>
      </c>
      <c r="J57" s="14">
        <f t="shared" si="9"/>
        <v>125</v>
      </c>
      <c r="K57" s="14">
        <f t="shared" si="10"/>
        <v>300</v>
      </c>
      <c r="L57" s="14">
        <f>ROUND((E57/26)*_xlfn.XLOOKUP(Table3[[#This Row],[Emp_ID]],Table2[Emp_ID],Table2[Total Absent]),0)</f>
        <v>1000</v>
      </c>
      <c r="M57" s="14">
        <f t="shared" si="11"/>
        <v>1425</v>
      </c>
      <c r="N57" s="14">
        <f t="shared" si="12"/>
        <v>15215</v>
      </c>
      <c r="O57" t="str">
        <f t="shared" si="13"/>
        <v>Low</v>
      </c>
    </row>
    <row r="58" spans="1:15">
      <c r="A58" s="7" t="s">
        <v>66</v>
      </c>
      <c r="B58" t="str">
        <f>_xlfn.XLOOKUP(Table3[[#This Row],[Emp_ID]],Table1[Emp_ID],Table1[Full_Name ])</f>
        <v>Imran</v>
      </c>
      <c r="C58" t="str">
        <f>_xlfn.XLOOKUP(Table3[[#This Row],[Emp_ID]],Table1[Emp_ID],Table1[Department])</f>
        <v>Marketing</v>
      </c>
      <c r="D58" t="str">
        <f>_xlfn.XLOOKUP(Table3[[#This Row],[Emp_ID]],Table1[Emp_ID],Table1[Designation])</f>
        <v>Associate / Operator</v>
      </c>
      <c r="E58" s="14">
        <f>_xlfn.XLOOKUP(Table3[[#This Row],[Emp_ID]],Table1[Emp_ID],Table1[Basic_Salary])</f>
        <v>14000</v>
      </c>
      <c r="F58" s="14">
        <f>E58*_xlfn.XLOOKUP(Table3[[#This Row],[Emp_ID]],Table1[Emp_ID],Table1[HRA_%])</f>
        <v>2800</v>
      </c>
      <c r="G58" s="14">
        <f>E58*_xlfn.XLOOKUP(Table3[[#This Row],[Emp_ID]],Table1[Emp_ID],Table1[DA_%])</f>
        <v>1120</v>
      </c>
      <c r="H58" s="14">
        <f t="shared" si="7"/>
        <v>17920</v>
      </c>
      <c r="I58" s="14">
        <f t="shared" si="8"/>
        <v>0</v>
      </c>
      <c r="J58" s="14">
        <f t="shared" si="9"/>
        <v>134</v>
      </c>
      <c r="K58" s="14">
        <f t="shared" si="10"/>
        <v>300</v>
      </c>
      <c r="L58" s="14">
        <f>ROUND((E58/26)*_xlfn.XLOOKUP(Table3[[#This Row],[Emp_ID]],Table2[Emp_ID],Table2[Total Absent]),0)</f>
        <v>538</v>
      </c>
      <c r="M58" s="14">
        <f t="shared" si="11"/>
        <v>972</v>
      </c>
      <c r="N58" s="14">
        <f t="shared" si="12"/>
        <v>16948</v>
      </c>
      <c r="O58" t="str">
        <f t="shared" si="13"/>
        <v>Low</v>
      </c>
    </row>
    <row r="59" spans="1:15">
      <c r="A59" s="8" t="s">
        <v>67</v>
      </c>
      <c r="B59" t="str">
        <f>_xlfn.XLOOKUP(Table3[[#This Row],[Emp_ID]],Table1[Emp_ID],Table1[Full_Name ])</f>
        <v>Faizan</v>
      </c>
      <c r="C59" t="str">
        <f>_xlfn.XLOOKUP(Table3[[#This Row],[Emp_ID]],Table1[Emp_ID],Table1[Department])</f>
        <v>Marketing</v>
      </c>
      <c r="D59" t="str">
        <f>_xlfn.XLOOKUP(Table3[[#This Row],[Emp_ID]],Table1[Emp_ID],Table1[Designation])</f>
        <v>Associate / Operator</v>
      </c>
      <c r="E59" s="14">
        <f>_xlfn.XLOOKUP(Table3[[#This Row],[Emp_ID]],Table1[Emp_ID],Table1[Basic_Salary])</f>
        <v>16000</v>
      </c>
      <c r="F59" s="14">
        <f>E59*_xlfn.XLOOKUP(Table3[[#This Row],[Emp_ID]],Table1[Emp_ID],Table1[HRA_%])</f>
        <v>3200</v>
      </c>
      <c r="G59" s="14">
        <f>E59*_xlfn.XLOOKUP(Table3[[#This Row],[Emp_ID]],Table1[Emp_ID],Table1[DA_%])</f>
        <v>1280</v>
      </c>
      <c r="H59" s="14">
        <f t="shared" si="7"/>
        <v>20480</v>
      </c>
      <c r="I59" s="14">
        <f t="shared" si="8"/>
        <v>1920</v>
      </c>
      <c r="J59" s="14">
        <f t="shared" si="9"/>
        <v>154</v>
      </c>
      <c r="K59" s="14">
        <f t="shared" si="10"/>
        <v>300</v>
      </c>
      <c r="L59" s="14">
        <f>ROUND((E59/26)*_xlfn.XLOOKUP(Table3[[#This Row],[Emp_ID]],Table2[Emp_ID],Table2[Total Absent]),0)</f>
        <v>615</v>
      </c>
      <c r="M59" s="14">
        <f t="shared" si="11"/>
        <v>2989</v>
      </c>
      <c r="N59" s="14">
        <f t="shared" si="12"/>
        <v>17491</v>
      </c>
      <c r="O59" t="str">
        <f t="shared" si="13"/>
        <v>Low</v>
      </c>
    </row>
    <row r="60" spans="1:15">
      <c r="A60" s="7" t="s">
        <v>68</v>
      </c>
      <c r="B60" t="str">
        <f>_xlfn.XLOOKUP(Table3[[#This Row],[Emp_ID]],Table1[Emp_ID],Table1[Full_Name ])</f>
        <v>Arman</v>
      </c>
      <c r="C60" t="str">
        <f>_xlfn.XLOOKUP(Table3[[#This Row],[Emp_ID]],Table1[Emp_ID],Table1[Department])</f>
        <v>Marketing</v>
      </c>
      <c r="D60" t="str">
        <f>_xlfn.XLOOKUP(Table3[[#This Row],[Emp_ID]],Table1[Emp_ID],Table1[Designation])</f>
        <v>Associate / Operator</v>
      </c>
      <c r="E60" s="14">
        <f>_xlfn.XLOOKUP(Table3[[#This Row],[Emp_ID]],Table1[Emp_ID],Table1[Basic_Salary])</f>
        <v>17000</v>
      </c>
      <c r="F60" s="14">
        <f>E60*_xlfn.XLOOKUP(Table3[[#This Row],[Emp_ID]],Table1[Emp_ID],Table1[HRA_%])</f>
        <v>3400</v>
      </c>
      <c r="G60" s="14">
        <f>E60*_xlfn.XLOOKUP(Table3[[#This Row],[Emp_ID]],Table1[Emp_ID],Table1[DA_%])</f>
        <v>1360</v>
      </c>
      <c r="H60" s="14">
        <f t="shared" si="7"/>
        <v>21760</v>
      </c>
      <c r="I60" s="14">
        <f t="shared" si="8"/>
        <v>2040</v>
      </c>
      <c r="J60" s="14">
        <f t="shared" si="9"/>
        <v>0</v>
      </c>
      <c r="K60" s="14">
        <f t="shared" si="10"/>
        <v>300</v>
      </c>
      <c r="L60" s="14">
        <f>ROUND((E60/26)*_xlfn.XLOOKUP(Table3[[#This Row],[Emp_ID]],Table2[Emp_ID],Table2[Total Absent]),0)</f>
        <v>1962</v>
      </c>
      <c r="M60" s="14">
        <f t="shared" si="11"/>
        <v>4302</v>
      </c>
      <c r="N60" s="14">
        <f t="shared" si="12"/>
        <v>17458</v>
      </c>
      <c r="O60" t="str">
        <f t="shared" si="13"/>
        <v>Low</v>
      </c>
    </row>
    <row r="61" spans="1:15">
      <c r="A61" s="8" t="s">
        <v>69</v>
      </c>
      <c r="B61" t="str">
        <f>_xlfn.XLOOKUP(Table3[[#This Row],[Emp_ID]],Table1[Emp_ID],Table1[Full_Name ])</f>
        <v>Salman</v>
      </c>
      <c r="C61" t="str">
        <f>_xlfn.XLOOKUP(Table3[[#This Row],[Emp_ID]],Table1[Emp_ID],Table1[Department])</f>
        <v>Marketing</v>
      </c>
      <c r="D61" t="str">
        <f>_xlfn.XLOOKUP(Table3[[#This Row],[Emp_ID]],Table1[Emp_ID],Table1[Designation])</f>
        <v>Associate / Operator</v>
      </c>
      <c r="E61" s="14">
        <f>_xlfn.XLOOKUP(Table3[[#This Row],[Emp_ID]],Table1[Emp_ID],Table1[Basic_Salary])</f>
        <v>18000</v>
      </c>
      <c r="F61" s="14">
        <f>E61*_xlfn.XLOOKUP(Table3[[#This Row],[Emp_ID]],Table1[Emp_ID],Table1[HRA_%])</f>
        <v>3600</v>
      </c>
      <c r="G61" s="14">
        <f>E61*_xlfn.XLOOKUP(Table3[[#This Row],[Emp_ID]],Table1[Emp_ID],Table1[DA_%])</f>
        <v>1440</v>
      </c>
      <c r="H61" s="14">
        <f t="shared" si="7"/>
        <v>23040</v>
      </c>
      <c r="I61" s="14">
        <f t="shared" si="8"/>
        <v>2160</v>
      </c>
      <c r="J61" s="14">
        <f t="shared" si="9"/>
        <v>0</v>
      </c>
      <c r="K61" s="14">
        <f t="shared" si="10"/>
        <v>300</v>
      </c>
      <c r="L61" s="14">
        <f>ROUND((E61/26)*_xlfn.XLOOKUP(Table3[[#This Row],[Emp_ID]],Table2[Emp_ID],Table2[Total Absent]),0)</f>
        <v>0</v>
      </c>
      <c r="M61" s="14">
        <f t="shared" si="11"/>
        <v>2460</v>
      </c>
      <c r="N61" s="14">
        <f t="shared" si="12"/>
        <v>20580</v>
      </c>
      <c r="O61" t="str">
        <f t="shared" si="13"/>
        <v>Mid</v>
      </c>
    </row>
    <row r="62" spans="1:15">
      <c r="A62" s="7" t="s">
        <v>70</v>
      </c>
      <c r="B62" t="str">
        <f>_xlfn.XLOOKUP(Table3[[#This Row],[Emp_ID]],Table1[Emp_ID],Table1[Full_Name ])</f>
        <v>Zaid</v>
      </c>
      <c r="C62" t="str">
        <f>_xlfn.XLOOKUP(Table3[[#This Row],[Emp_ID]],Table1[Emp_ID],Table1[Department])</f>
        <v>Marketing</v>
      </c>
      <c r="D62" t="str">
        <f>_xlfn.XLOOKUP(Table3[[#This Row],[Emp_ID]],Table1[Emp_ID],Table1[Designation])</f>
        <v>Associate / Operator</v>
      </c>
      <c r="E62" s="14">
        <f>_xlfn.XLOOKUP(Table3[[#This Row],[Emp_ID]],Table1[Emp_ID],Table1[Basic_Salary])</f>
        <v>17500</v>
      </c>
      <c r="F62" s="14">
        <f>E62*_xlfn.XLOOKUP(Table3[[#This Row],[Emp_ID]],Table1[Emp_ID],Table1[HRA_%])</f>
        <v>3500</v>
      </c>
      <c r="G62" s="14">
        <f>E62*_xlfn.XLOOKUP(Table3[[#This Row],[Emp_ID]],Table1[Emp_ID],Table1[DA_%])</f>
        <v>1400</v>
      </c>
      <c r="H62" s="14">
        <f t="shared" si="7"/>
        <v>22400</v>
      </c>
      <c r="I62" s="14">
        <f t="shared" si="8"/>
        <v>2100</v>
      </c>
      <c r="J62" s="14">
        <f t="shared" si="9"/>
        <v>0</v>
      </c>
      <c r="K62" s="14">
        <f t="shared" si="10"/>
        <v>300</v>
      </c>
      <c r="L62" s="14">
        <f>ROUND((E62/26)*_xlfn.XLOOKUP(Table3[[#This Row],[Emp_ID]],Table2[Emp_ID],Table2[Total Absent]),0)</f>
        <v>673</v>
      </c>
      <c r="M62" s="14">
        <f t="shared" si="11"/>
        <v>3073</v>
      </c>
      <c r="N62" s="14">
        <f t="shared" si="12"/>
        <v>19327</v>
      </c>
      <c r="O62" t="str">
        <f t="shared" si="13"/>
        <v>Low</v>
      </c>
    </row>
    <row r="63" spans="1:15">
      <c r="A63" s="8" t="s">
        <v>71</v>
      </c>
      <c r="B63" t="str">
        <f>_xlfn.XLOOKUP(Table3[[#This Row],[Emp_ID]],Table1[Emp_ID],Table1[Full_Name ])</f>
        <v>Irfan</v>
      </c>
      <c r="C63" t="str">
        <f>_xlfn.XLOOKUP(Table3[[#This Row],[Emp_ID]],Table1[Emp_ID],Table1[Department])</f>
        <v>Marketing</v>
      </c>
      <c r="D63" t="str">
        <f>_xlfn.XLOOKUP(Table3[[#This Row],[Emp_ID]],Table1[Emp_ID],Table1[Designation])</f>
        <v>Executive</v>
      </c>
      <c r="E63" s="14">
        <f>_xlfn.XLOOKUP(Table3[[#This Row],[Emp_ID]],Table1[Emp_ID],Table1[Basic_Salary])</f>
        <v>26000</v>
      </c>
      <c r="F63" s="14">
        <f>E63*_xlfn.XLOOKUP(Table3[[#This Row],[Emp_ID]],Table1[Emp_ID],Table1[HRA_%])</f>
        <v>7800</v>
      </c>
      <c r="G63" s="14">
        <f>E63*_xlfn.XLOOKUP(Table3[[#This Row],[Emp_ID]],Table1[Emp_ID],Table1[DA_%])</f>
        <v>2600</v>
      </c>
      <c r="H63" s="14">
        <f t="shared" si="7"/>
        <v>36400</v>
      </c>
      <c r="I63" s="14">
        <f t="shared" si="8"/>
        <v>3120</v>
      </c>
      <c r="J63" s="14">
        <f t="shared" si="9"/>
        <v>0</v>
      </c>
      <c r="K63" s="14">
        <f t="shared" si="10"/>
        <v>200</v>
      </c>
      <c r="L63" s="14">
        <f>ROUND((E63/26)*_xlfn.XLOOKUP(Table3[[#This Row],[Emp_ID]],Table2[Emp_ID],Table2[Total Absent]),0)</f>
        <v>1000</v>
      </c>
      <c r="M63" s="14">
        <f t="shared" si="11"/>
        <v>4320</v>
      </c>
      <c r="N63" s="14">
        <f t="shared" si="12"/>
        <v>32080</v>
      </c>
      <c r="O63" t="str">
        <f t="shared" si="13"/>
        <v>High</v>
      </c>
    </row>
    <row r="64" spans="1:15">
      <c r="A64" s="7" t="s">
        <v>72</v>
      </c>
      <c r="B64" t="str">
        <f>_xlfn.XLOOKUP(Table3[[#This Row],[Emp_ID]],Table1[Emp_ID],Table1[Full_Name ])</f>
        <v>Junaid</v>
      </c>
      <c r="C64" t="str">
        <f>_xlfn.XLOOKUP(Table3[[#This Row],[Emp_ID]],Table1[Emp_ID],Table1[Department])</f>
        <v>Marketing</v>
      </c>
      <c r="D64" t="str">
        <f>_xlfn.XLOOKUP(Table3[[#This Row],[Emp_ID]],Table1[Emp_ID],Table1[Designation])</f>
        <v>Senior Executive</v>
      </c>
      <c r="E64" s="14">
        <f>_xlfn.XLOOKUP(Table3[[#This Row],[Emp_ID]],Table1[Emp_ID],Table1[Basic_Salary])</f>
        <v>40000</v>
      </c>
      <c r="F64" s="14">
        <f>E64*_xlfn.XLOOKUP(Table3[[#This Row],[Emp_ID]],Table1[Emp_ID],Table1[HRA_%])</f>
        <v>14000</v>
      </c>
      <c r="G64" s="14">
        <f>E64*_xlfn.XLOOKUP(Table3[[#This Row],[Emp_ID]],Table1[Emp_ID],Table1[DA_%])</f>
        <v>4800</v>
      </c>
      <c r="H64" s="14">
        <f t="shared" si="7"/>
        <v>58800</v>
      </c>
      <c r="I64" s="14">
        <f t="shared" si="8"/>
        <v>4800</v>
      </c>
      <c r="J64" s="14">
        <f t="shared" si="9"/>
        <v>0</v>
      </c>
      <c r="K64" s="14">
        <f t="shared" si="10"/>
        <v>200</v>
      </c>
      <c r="L64" s="14">
        <f>ROUND((E64/26)*_xlfn.XLOOKUP(Table3[[#This Row],[Emp_ID]],Table2[Emp_ID],Table2[Total Absent]),0)</f>
        <v>1538</v>
      </c>
      <c r="M64" s="14">
        <f t="shared" si="11"/>
        <v>6538</v>
      </c>
      <c r="N64" s="14">
        <f t="shared" si="12"/>
        <v>52262</v>
      </c>
      <c r="O64" t="str">
        <f t="shared" si="13"/>
        <v>High</v>
      </c>
    </row>
    <row r="65" spans="1:15">
      <c r="A65" s="8" t="s">
        <v>73</v>
      </c>
      <c r="B65" t="str">
        <f>_xlfn.XLOOKUP(Table3[[#This Row],[Emp_ID]],Table1[Emp_ID],Table1[Full_Name ])</f>
        <v>Asif</v>
      </c>
      <c r="C65" t="str">
        <f>_xlfn.XLOOKUP(Table3[[#This Row],[Emp_ID]],Table1[Emp_ID],Table1[Department])</f>
        <v>Marketing</v>
      </c>
      <c r="D65" t="str">
        <f>_xlfn.XLOOKUP(Table3[[#This Row],[Emp_ID]],Table1[Emp_ID],Table1[Designation])</f>
        <v>Associate / Operator</v>
      </c>
      <c r="E65" s="14">
        <f>_xlfn.XLOOKUP(Table3[[#This Row],[Emp_ID]],Table1[Emp_ID],Table1[Basic_Salary])</f>
        <v>15000</v>
      </c>
      <c r="F65" s="14">
        <f>E65*_xlfn.XLOOKUP(Table3[[#This Row],[Emp_ID]],Table1[Emp_ID],Table1[HRA_%])</f>
        <v>3000</v>
      </c>
      <c r="G65" s="14">
        <f>E65*_xlfn.XLOOKUP(Table3[[#This Row],[Emp_ID]],Table1[Emp_ID],Table1[DA_%])</f>
        <v>1200</v>
      </c>
      <c r="H65" s="14">
        <f t="shared" si="7"/>
        <v>19200</v>
      </c>
      <c r="I65" s="14">
        <f t="shared" si="8"/>
        <v>0</v>
      </c>
      <c r="J65" s="14">
        <f t="shared" si="9"/>
        <v>144</v>
      </c>
      <c r="K65" s="14">
        <f t="shared" si="10"/>
        <v>300</v>
      </c>
      <c r="L65" s="14">
        <f>ROUND((E65/26)*_xlfn.XLOOKUP(Table3[[#This Row],[Emp_ID]],Table2[Emp_ID],Table2[Total Absent]),0)</f>
        <v>577</v>
      </c>
      <c r="M65" s="14">
        <f t="shared" si="11"/>
        <v>1021</v>
      </c>
      <c r="N65" s="14">
        <f t="shared" si="12"/>
        <v>18179</v>
      </c>
      <c r="O65" t="str">
        <f t="shared" si="13"/>
        <v>Low</v>
      </c>
    </row>
    <row r="66" spans="1:15">
      <c r="A66" s="7" t="s">
        <v>74</v>
      </c>
      <c r="B66" t="str">
        <f>_xlfn.XLOOKUP(Table3[[#This Row],[Emp_ID]],Table1[Emp_ID],Table1[Full_Name ])</f>
        <v>Wasim</v>
      </c>
      <c r="C66" t="str">
        <f>_xlfn.XLOOKUP(Table3[[#This Row],[Emp_ID]],Table1[Emp_ID],Table1[Department])</f>
        <v>Marketing</v>
      </c>
      <c r="D66" t="str">
        <f>_xlfn.XLOOKUP(Table3[[#This Row],[Emp_ID]],Table1[Emp_ID],Table1[Designation])</f>
        <v>Executive</v>
      </c>
      <c r="E66" s="14">
        <f>_xlfn.XLOOKUP(Table3[[#This Row],[Emp_ID]],Table1[Emp_ID],Table1[Basic_Salary])</f>
        <v>27000</v>
      </c>
      <c r="F66" s="14">
        <f>E66*_xlfn.XLOOKUP(Table3[[#This Row],[Emp_ID]],Table1[Emp_ID],Table1[HRA_%])</f>
        <v>8100</v>
      </c>
      <c r="G66" s="14">
        <f>E66*_xlfn.XLOOKUP(Table3[[#This Row],[Emp_ID]],Table1[Emp_ID],Table1[DA_%])</f>
        <v>2700</v>
      </c>
      <c r="H66" s="14">
        <f t="shared" ref="H66:H97" si="14">E66+F66+G66</f>
        <v>37800</v>
      </c>
      <c r="I66" s="14">
        <f t="shared" ref="I66:I97" si="15">IF(E66&gt;15000,ROUND(E66*0.12,0),0)</f>
        <v>3240</v>
      </c>
      <c r="J66" s="14">
        <f t="shared" ref="J66:J97" si="16">IF(H66&lt;21000,ROUND(H66*0.0075,0),0)</f>
        <v>0</v>
      </c>
      <c r="K66" s="14">
        <f t="shared" ref="K66:K97" si="17">IF(H66&lt;=10000,0,IF(H66&lt;=15000,150,IF(H66&lt;=25000,300,200)))</f>
        <v>200</v>
      </c>
      <c r="L66" s="14">
        <f>ROUND((E66/26)*_xlfn.XLOOKUP(Table3[[#This Row],[Emp_ID]],Table2[Emp_ID],Table2[Total Absent]),0)</f>
        <v>1038</v>
      </c>
      <c r="M66" s="14">
        <f t="shared" ref="M66:M97" si="18">I66+J66+K66+L66</f>
        <v>4478</v>
      </c>
      <c r="N66" s="14">
        <f t="shared" ref="N66:N97" si="19">H66-M66</f>
        <v>33322</v>
      </c>
      <c r="O66" t="str">
        <f t="shared" ref="O66:O97" si="20">IF(N66&gt;=30000,"High",IF(N66&gt;=20000,"Mid",IF(N66&gt;=12000,"Low","Review")))</f>
        <v>High</v>
      </c>
    </row>
    <row r="67" spans="1:15">
      <c r="A67" s="8" t="s">
        <v>75</v>
      </c>
      <c r="B67" t="str">
        <f>_xlfn.XLOOKUP(Table3[[#This Row],[Emp_ID]],Table1[Emp_ID],Table1[Full_Name ])</f>
        <v>Farhan</v>
      </c>
      <c r="C67" t="str">
        <f>_xlfn.XLOOKUP(Table3[[#This Row],[Emp_ID]],Table1[Emp_ID],Table1[Department])</f>
        <v>Marketing</v>
      </c>
      <c r="D67" t="str">
        <f>_xlfn.XLOOKUP(Table3[[#This Row],[Emp_ID]],Table1[Emp_ID],Table1[Designation])</f>
        <v>Executive</v>
      </c>
      <c r="E67" s="14">
        <f>_xlfn.XLOOKUP(Table3[[#This Row],[Emp_ID]],Table1[Emp_ID],Table1[Basic_Salary])</f>
        <v>25000</v>
      </c>
      <c r="F67" s="14">
        <f>E67*_xlfn.XLOOKUP(Table3[[#This Row],[Emp_ID]],Table1[Emp_ID],Table1[HRA_%])</f>
        <v>7500</v>
      </c>
      <c r="G67" s="14">
        <f>E67*_xlfn.XLOOKUP(Table3[[#This Row],[Emp_ID]],Table1[Emp_ID],Table1[DA_%])</f>
        <v>2500</v>
      </c>
      <c r="H67" s="14">
        <f t="shared" si="14"/>
        <v>35000</v>
      </c>
      <c r="I67" s="14">
        <f t="shared" si="15"/>
        <v>3000</v>
      </c>
      <c r="J67" s="14">
        <f t="shared" si="16"/>
        <v>0</v>
      </c>
      <c r="K67" s="14">
        <f t="shared" si="17"/>
        <v>200</v>
      </c>
      <c r="L67" s="14">
        <f>ROUND((E67/26)*_xlfn.XLOOKUP(Table3[[#This Row],[Emp_ID]],Table2[Emp_ID],Table2[Total Absent]),0)</f>
        <v>1923</v>
      </c>
      <c r="M67" s="14">
        <f t="shared" si="18"/>
        <v>5123</v>
      </c>
      <c r="N67" s="14">
        <f t="shared" si="19"/>
        <v>29877</v>
      </c>
      <c r="O67" t="str">
        <f t="shared" si="20"/>
        <v>Mid</v>
      </c>
    </row>
    <row r="68" spans="1:15">
      <c r="A68" s="7" t="s">
        <v>76</v>
      </c>
      <c r="B68" t="str">
        <f>_xlfn.XLOOKUP(Table3[[#This Row],[Emp_ID]],Table1[Emp_ID],Table1[Full_Name ])</f>
        <v>Bilal</v>
      </c>
      <c r="C68" t="str">
        <f>_xlfn.XLOOKUP(Table3[[#This Row],[Emp_ID]],Table1[Emp_ID],Table1[Department])</f>
        <v>Marketing</v>
      </c>
      <c r="D68" t="str">
        <f>_xlfn.XLOOKUP(Table3[[#This Row],[Emp_ID]],Table1[Emp_ID],Table1[Designation])</f>
        <v>Manager</v>
      </c>
      <c r="E68" s="14">
        <f>_xlfn.XLOOKUP(Table3[[#This Row],[Emp_ID]],Table1[Emp_ID],Table1[Basic_Salary])</f>
        <v>58000</v>
      </c>
      <c r="F68" s="14">
        <f>E68*_xlfn.XLOOKUP(Table3[[#This Row],[Emp_ID]],Table1[Emp_ID],Table1[HRA_%])</f>
        <v>23200</v>
      </c>
      <c r="G68" s="14">
        <f>E68*_xlfn.XLOOKUP(Table3[[#This Row],[Emp_ID]],Table1[Emp_ID],Table1[DA_%])</f>
        <v>8700</v>
      </c>
      <c r="H68" s="14">
        <f t="shared" si="14"/>
        <v>89900</v>
      </c>
      <c r="I68" s="14">
        <f t="shared" si="15"/>
        <v>6960</v>
      </c>
      <c r="J68" s="14">
        <f t="shared" si="16"/>
        <v>0</v>
      </c>
      <c r="K68" s="14">
        <f t="shared" si="17"/>
        <v>200</v>
      </c>
      <c r="L68" s="14">
        <f>ROUND((E68/26)*_xlfn.XLOOKUP(Table3[[#This Row],[Emp_ID]],Table2[Emp_ID],Table2[Total Absent]),0)</f>
        <v>0</v>
      </c>
      <c r="M68" s="14">
        <f t="shared" si="18"/>
        <v>7160</v>
      </c>
      <c r="N68" s="14">
        <f t="shared" si="19"/>
        <v>82740</v>
      </c>
      <c r="O68" t="str">
        <f t="shared" si="20"/>
        <v>High</v>
      </c>
    </row>
    <row r="69" spans="1:15">
      <c r="A69" s="8" t="s">
        <v>77</v>
      </c>
      <c r="B69" t="str">
        <f>_xlfn.XLOOKUP(Table3[[#This Row],[Emp_ID]],Table1[Emp_ID],Table1[Full_Name ])</f>
        <v>Aamir</v>
      </c>
      <c r="C69" t="str">
        <f>_xlfn.XLOOKUP(Table3[[#This Row],[Emp_ID]],Table1[Emp_ID],Table1[Department])</f>
        <v>Marketing</v>
      </c>
      <c r="D69" t="str">
        <f>_xlfn.XLOOKUP(Table3[[#This Row],[Emp_ID]],Table1[Emp_ID],Table1[Designation])</f>
        <v>Executive</v>
      </c>
      <c r="E69" s="14">
        <f>_xlfn.XLOOKUP(Table3[[#This Row],[Emp_ID]],Table1[Emp_ID],Table1[Basic_Salary])</f>
        <v>24000</v>
      </c>
      <c r="F69" s="14">
        <f>E69*_xlfn.XLOOKUP(Table3[[#This Row],[Emp_ID]],Table1[Emp_ID],Table1[HRA_%])</f>
        <v>4800</v>
      </c>
      <c r="G69" s="14">
        <f>E69*_xlfn.XLOOKUP(Table3[[#This Row],[Emp_ID]],Table1[Emp_ID],Table1[DA_%])</f>
        <v>2400</v>
      </c>
      <c r="H69" s="14">
        <f t="shared" si="14"/>
        <v>31200</v>
      </c>
      <c r="I69" s="14">
        <f t="shared" si="15"/>
        <v>2880</v>
      </c>
      <c r="J69" s="14">
        <f t="shared" si="16"/>
        <v>0</v>
      </c>
      <c r="K69" s="14">
        <f t="shared" si="17"/>
        <v>200</v>
      </c>
      <c r="L69" s="14">
        <f>ROUND((E69/26)*_xlfn.XLOOKUP(Table3[[#This Row],[Emp_ID]],Table2[Emp_ID],Table2[Total Absent]),0)</f>
        <v>923</v>
      </c>
      <c r="M69" s="14">
        <f t="shared" si="18"/>
        <v>4003</v>
      </c>
      <c r="N69" s="14">
        <f t="shared" si="19"/>
        <v>27197</v>
      </c>
      <c r="O69" t="str">
        <f t="shared" si="20"/>
        <v>Mid</v>
      </c>
    </row>
    <row r="70" spans="1:15">
      <c r="A70" s="7" t="s">
        <v>78</v>
      </c>
      <c r="B70" t="str">
        <f>_xlfn.XLOOKUP(Table3[[#This Row],[Emp_ID]],Table1[Emp_ID],Table1[Full_Name ])</f>
        <v>Shahid</v>
      </c>
      <c r="C70" t="str">
        <f>_xlfn.XLOOKUP(Table3[[#This Row],[Emp_ID]],Table1[Emp_ID],Table1[Department])</f>
        <v>Marketing</v>
      </c>
      <c r="D70" t="str">
        <f>_xlfn.XLOOKUP(Table3[[#This Row],[Emp_ID]],Table1[Emp_ID],Table1[Designation])</f>
        <v>Executive</v>
      </c>
      <c r="E70" s="14">
        <f>_xlfn.XLOOKUP(Table3[[#This Row],[Emp_ID]],Table1[Emp_ID],Table1[Basic_Salary])</f>
        <v>29000</v>
      </c>
      <c r="F70" s="14">
        <f>E70*_xlfn.XLOOKUP(Table3[[#This Row],[Emp_ID]],Table1[Emp_ID],Table1[HRA_%])</f>
        <v>5800</v>
      </c>
      <c r="G70" s="14">
        <f>E70*_xlfn.XLOOKUP(Table3[[#This Row],[Emp_ID]],Table1[Emp_ID],Table1[DA_%])</f>
        <v>2900</v>
      </c>
      <c r="H70" s="14">
        <f t="shared" si="14"/>
        <v>37700</v>
      </c>
      <c r="I70" s="14">
        <f t="shared" si="15"/>
        <v>3480</v>
      </c>
      <c r="J70" s="14">
        <f t="shared" si="16"/>
        <v>0</v>
      </c>
      <c r="K70" s="14">
        <f t="shared" si="17"/>
        <v>200</v>
      </c>
      <c r="L70" s="14">
        <f>ROUND((E70/26)*_xlfn.XLOOKUP(Table3[[#This Row],[Emp_ID]],Table2[Emp_ID],Table2[Total Absent]),0)</f>
        <v>1115</v>
      </c>
      <c r="M70" s="14">
        <f t="shared" si="18"/>
        <v>4795</v>
      </c>
      <c r="N70" s="14">
        <f t="shared" si="19"/>
        <v>32905</v>
      </c>
      <c r="O70" t="str">
        <f t="shared" si="20"/>
        <v>High</v>
      </c>
    </row>
    <row r="71" spans="1:15">
      <c r="A71" s="8" t="s">
        <v>79</v>
      </c>
      <c r="B71" t="str">
        <f>_xlfn.XLOOKUP(Table3[[#This Row],[Emp_ID]],Table1[Emp_ID],Table1[Full_Name ])</f>
        <v>Nadeem</v>
      </c>
      <c r="C71" t="str">
        <f>_xlfn.XLOOKUP(Table3[[#This Row],[Emp_ID]],Table1[Emp_ID],Table1[Department])</f>
        <v>Marketing</v>
      </c>
      <c r="D71" t="str">
        <f>_xlfn.XLOOKUP(Table3[[#This Row],[Emp_ID]],Table1[Emp_ID],Table1[Designation])</f>
        <v>Senior Executive</v>
      </c>
      <c r="E71" s="14">
        <f>_xlfn.XLOOKUP(Table3[[#This Row],[Emp_ID]],Table1[Emp_ID],Table1[Basic_Salary])</f>
        <v>37000</v>
      </c>
      <c r="F71" s="14">
        <f>E71*_xlfn.XLOOKUP(Table3[[#This Row],[Emp_ID]],Table1[Emp_ID],Table1[HRA_%])</f>
        <v>12950</v>
      </c>
      <c r="G71" s="14">
        <f>E71*_xlfn.XLOOKUP(Table3[[#This Row],[Emp_ID]],Table1[Emp_ID],Table1[DA_%])</f>
        <v>4440</v>
      </c>
      <c r="H71" s="14">
        <f t="shared" si="14"/>
        <v>54390</v>
      </c>
      <c r="I71" s="14">
        <f t="shared" si="15"/>
        <v>4440</v>
      </c>
      <c r="J71" s="14">
        <f t="shared" si="16"/>
        <v>0</v>
      </c>
      <c r="K71" s="14">
        <f t="shared" si="17"/>
        <v>200</v>
      </c>
      <c r="L71" s="14">
        <f>ROUND((E71/26)*_xlfn.XLOOKUP(Table3[[#This Row],[Emp_ID]],Table2[Emp_ID],Table2[Total Absent]),0)</f>
        <v>2846</v>
      </c>
      <c r="M71" s="14">
        <f t="shared" si="18"/>
        <v>7486</v>
      </c>
      <c r="N71" s="14">
        <f t="shared" si="19"/>
        <v>46904</v>
      </c>
      <c r="O71" t="str">
        <f t="shared" si="20"/>
        <v>High</v>
      </c>
    </row>
    <row r="72" spans="1:15">
      <c r="A72" s="7" t="s">
        <v>80</v>
      </c>
      <c r="B72" t="str">
        <f>_xlfn.XLOOKUP(Table3[[#This Row],[Emp_ID]],Table1[Emp_ID],Table1[Full_Name ])</f>
        <v>Parth</v>
      </c>
      <c r="C72" t="str">
        <f>_xlfn.XLOOKUP(Table3[[#This Row],[Emp_ID]],Table1[Emp_ID],Table1[Department])</f>
        <v>Support</v>
      </c>
      <c r="D72" t="str">
        <f>_xlfn.XLOOKUP(Table3[[#This Row],[Emp_ID]],Table1[Emp_ID],Table1[Designation])</f>
        <v>Senior Executive</v>
      </c>
      <c r="E72" s="14">
        <f>_xlfn.XLOOKUP(Table3[[#This Row],[Emp_ID]],Table1[Emp_ID],Table1[Basic_Salary])</f>
        <v>31000</v>
      </c>
      <c r="F72" s="14">
        <f>E72*_xlfn.XLOOKUP(Table3[[#This Row],[Emp_ID]],Table1[Emp_ID],Table1[HRA_%])</f>
        <v>10850</v>
      </c>
      <c r="G72" s="14">
        <f>E72*_xlfn.XLOOKUP(Table3[[#This Row],[Emp_ID]],Table1[Emp_ID],Table1[DA_%])</f>
        <v>3720</v>
      </c>
      <c r="H72" s="14">
        <f t="shared" si="14"/>
        <v>45570</v>
      </c>
      <c r="I72" s="14">
        <f t="shared" si="15"/>
        <v>3720</v>
      </c>
      <c r="J72" s="14">
        <f t="shared" si="16"/>
        <v>0</v>
      </c>
      <c r="K72" s="14">
        <f t="shared" si="17"/>
        <v>200</v>
      </c>
      <c r="L72" s="14">
        <f>ROUND((E72/26)*_xlfn.XLOOKUP(Table3[[#This Row],[Emp_ID]],Table2[Emp_ID],Table2[Total Absent]),0)</f>
        <v>0</v>
      </c>
      <c r="M72" s="14">
        <f t="shared" si="18"/>
        <v>3920</v>
      </c>
      <c r="N72" s="14">
        <f t="shared" si="19"/>
        <v>41650</v>
      </c>
      <c r="O72" t="str">
        <f t="shared" si="20"/>
        <v>High</v>
      </c>
    </row>
    <row r="73" spans="1:15">
      <c r="A73" s="8" t="s">
        <v>81</v>
      </c>
      <c r="B73" t="str">
        <f>_xlfn.XLOOKUP(Table3[[#This Row],[Emp_ID]],Table1[Emp_ID],Table1[Full_Name ])</f>
        <v>Meet</v>
      </c>
      <c r="C73" t="str">
        <f>_xlfn.XLOOKUP(Table3[[#This Row],[Emp_ID]],Table1[Emp_ID],Table1[Department])</f>
        <v>Support</v>
      </c>
      <c r="D73" t="str">
        <f>_xlfn.XLOOKUP(Table3[[#This Row],[Emp_ID]],Table1[Emp_ID],Table1[Designation])</f>
        <v>Senior Executive</v>
      </c>
      <c r="E73" s="14">
        <f>_xlfn.XLOOKUP(Table3[[#This Row],[Emp_ID]],Table1[Emp_ID],Table1[Basic_Salary])</f>
        <v>34000</v>
      </c>
      <c r="F73" s="14">
        <f>E73*_xlfn.XLOOKUP(Table3[[#This Row],[Emp_ID]],Table1[Emp_ID],Table1[HRA_%])</f>
        <v>11900</v>
      </c>
      <c r="G73" s="14">
        <f>E73*_xlfn.XLOOKUP(Table3[[#This Row],[Emp_ID]],Table1[Emp_ID],Table1[DA_%])</f>
        <v>4080</v>
      </c>
      <c r="H73" s="14">
        <f t="shared" si="14"/>
        <v>49980</v>
      </c>
      <c r="I73" s="14">
        <f t="shared" si="15"/>
        <v>4080</v>
      </c>
      <c r="J73" s="14">
        <f t="shared" si="16"/>
        <v>0</v>
      </c>
      <c r="K73" s="14">
        <f t="shared" si="17"/>
        <v>200</v>
      </c>
      <c r="L73" s="14">
        <f>ROUND((E73/26)*_xlfn.XLOOKUP(Table3[[#This Row],[Emp_ID]],Table2[Emp_ID],Table2[Total Absent]),0)</f>
        <v>0</v>
      </c>
      <c r="M73" s="14">
        <f t="shared" si="18"/>
        <v>4280</v>
      </c>
      <c r="N73" s="14">
        <f t="shared" si="19"/>
        <v>45700</v>
      </c>
      <c r="O73" t="str">
        <f t="shared" si="20"/>
        <v>High</v>
      </c>
    </row>
    <row r="74" spans="1:15">
      <c r="A74" s="7" t="s">
        <v>82</v>
      </c>
      <c r="B74" t="str">
        <f>_xlfn.XLOOKUP(Table3[[#This Row],[Emp_ID]],Table1[Emp_ID],Table1[Full_Name ])</f>
        <v>Darshan</v>
      </c>
      <c r="C74" t="str">
        <f>_xlfn.XLOOKUP(Table3[[#This Row],[Emp_ID]],Table1[Emp_ID],Table1[Department])</f>
        <v>Support</v>
      </c>
      <c r="D74" t="str">
        <f>_xlfn.XLOOKUP(Table3[[#This Row],[Emp_ID]],Table1[Emp_ID],Table1[Designation])</f>
        <v>Associate / Operator</v>
      </c>
      <c r="E74" s="14">
        <f>_xlfn.XLOOKUP(Table3[[#This Row],[Emp_ID]],Table1[Emp_ID],Table1[Basic_Salary])</f>
        <v>12000</v>
      </c>
      <c r="F74" s="14">
        <f>E74*_xlfn.XLOOKUP(Table3[[#This Row],[Emp_ID]],Table1[Emp_ID],Table1[HRA_%])</f>
        <v>2400</v>
      </c>
      <c r="G74" s="14">
        <f>E74*_xlfn.XLOOKUP(Table3[[#This Row],[Emp_ID]],Table1[Emp_ID],Table1[DA_%])</f>
        <v>960</v>
      </c>
      <c r="H74" s="14">
        <f t="shared" si="14"/>
        <v>15360</v>
      </c>
      <c r="I74" s="14">
        <f t="shared" si="15"/>
        <v>0</v>
      </c>
      <c r="J74" s="14">
        <f t="shared" si="16"/>
        <v>115</v>
      </c>
      <c r="K74" s="14">
        <f t="shared" si="17"/>
        <v>300</v>
      </c>
      <c r="L74" s="14">
        <f>ROUND((E74/26)*_xlfn.XLOOKUP(Table3[[#This Row],[Emp_ID]],Table2[Emp_ID],Table2[Total Absent]),0)</f>
        <v>462</v>
      </c>
      <c r="M74" s="14">
        <f t="shared" si="18"/>
        <v>877</v>
      </c>
      <c r="N74" s="14">
        <f t="shared" si="19"/>
        <v>14483</v>
      </c>
      <c r="O74" t="str">
        <f t="shared" si="20"/>
        <v>Low</v>
      </c>
    </row>
    <row r="75" spans="1:15">
      <c r="A75" s="8" t="s">
        <v>83</v>
      </c>
      <c r="B75" t="str">
        <f>_xlfn.XLOOKUP(Table3[[#This Row],[Emp_ID]],Table1[Emp_ID],Table1[Full_Name ])</f>
        <v>Jignesh</v>
      </c>
      <c r="C75" t="str">
        <f>_xlfn.XLOOKUP(Table3[[#This Row],[Emp_ID]],Table1[Emp_ID],Table1[Department])</f>
        <v>Support</v>
      </c>
      <c r="D75" t="str">
        <f>_xlfn.XLOOKUP(Table3[[#This Row],[Emp_ID]],Table1[Emp_ID],Table1[Designation])</f>
        <v>Associate / Operator</v>
      </c>
      <c r="E75" s="14">
        <f>_xlfn.XLOOKUP(Table3[[#This Row],[Emp_ID]],Table1[Emp_ID],Table1[Basic_Salary])</f>
        <v>16000</v>
      </c>
      <c r="F75" s="14">
        <f>E75*_xlfn.XLOOKUP(Table3[[#This Row],[Emp_ID]],Table1[Emp_ID],Table1[HRA_%])</f>
        <v>3200</v>
      </c>
      <c r="G75" s="14">
        <f>E75*_xlfn.XLOOKUP(Table3[[#This Row],[Emp_ID]],Table1[Emp_ID],Table1[DA_%])</f>
        <v>1280</v>
      </c>
      <c r="H75" s="14">
        <f t="shared" si="14"/>
        <v>20480</v>
      </c>
      <c r="I75" s="14">
        <f t="shared" si="15"/>
        <v>1920</v>
      </c>
      <c r="J75" s="14">
        <f t="shared" si="16"/>
        <v>154</v>
      </c>
      <c r="K75" s="14">
        <f t="shared" si="17"/>
        <v>300</v>
      </c>
      <c r="L75" s="14">
        <f>ROUND((E75/26)*_xlfn.XLOOKUP(Table3[[#This Row],[Emp_ID]],Table2[Emp_ID],Table2[Total Absent]),0)</f>
        <v>615</v>
      </c>
      <c r="M75" s="14">
        <f t="shared" si="18"/>
        <v>2989</v>
      </c>
      <c r="N75" s="14">
        <f t="shared" si="19"/>
        <v>17491</v>
      </c>
      <c r="O75" t="str">
        <f t="shared" si="20"/>
        <v>Low</v>
      </c>
    </row>
    <row r="76" spans="1:15">
      <c r="A76" s="7" t="s">
        <v>84</v>
      </c>
      <c r="B76" t="str">
        <f>_xlfn.XLOOKUP(Table3[[#This Row],[Emp_ID]],Table1[Emp_ID],Table1[Full_Name ])</f>
        <v>Hardik</v>
      </c>
      <c r="C76" t="str">
        <f>_xlfn.XLOOKUP(Table3[[#This Row],[Emp_ID]],Table1[Emp_ID],Table1[Department])</f>
        <v>Support</v>
      </c>
      <c r="D76" t="str">
        <f>_xlfn.XLOOKUP(Table3[[#This Row],[Emp_ID]],Table1[Emp_ID],Table1[Designation])</f>
        <v>Associate / Operator</v>
      </c>
      <c r="E76" s="14">
        <f>_xlfn.XLOOKUP(Table3[[#This Row],[Emp_ID]],Table1[Emp_ID],Table1[Basic_Salary])</f>
        <v>14000</v>
      </c>
      <c r="F76" s="14">
        <f>E76*_xlfn.XLOOKUP(Table3[[#This Row],[Emp_ID]],Table1[Emp_ID],Table1[HRA_%])</f>
        <v>2800</v>
      </c>
      <c r="G76" s="14">
        <f>E76*_xlfn.XLOOKUP(Table3[[#This Row],[Emp_ID]],Table1[Emp_ID],Table1[DA_%])</f>
        <v>1120</v>
      </c>
      <c r="H76" s="14">
        <f t="shared" si="14"/>
        <v>17920</v>
      </c>
      <c r="I76" s="14">
        <f t="shared" si="15"/>
        <v>0</v>
      </c>
      <c r="J76" s="14">
        <f t="shared" si="16"/>
        <v>134</v>
      </c>
      <c r="K76" s="14">
        <f t="shared" si="17"/>
        <v>300</v>
      </c>
      <c r="L76" s="14">
        <f>ROUND((E76/26)*_xlfn.XLOOKUP(Table3[[#This Row],[Emp_ID]],Table2[Emp_ID],Table2[Total Absent]),0)</f>
        <v>0</v>
      </c>
      <c r="M76" s="14">
        <f t="shared" si="18"/>
        <v>434</v>
      </c>
      <c r="N76" s="14">
        <f t="shared" si="19"/>
        <v>17486</v>
      </c>
      <c r="O76" t="str">
        <f t="shared" si="20"/>
        <v>Low</v>
      </c>
    </row>
    <row r="77" spans="1:15">
      <c r="A77" s="8" t="s">
        <v>85</v>
      </c>
      <c r="B77" t="str">
        <f>_xlfn.XLOOKUP(Table3[[#This Row],[Emp_ID]],Table1[Emp_ID],Table1[Full_Name ])</f>
        <v>Hitesh</v>
      </c>
      <c r="C77" t="str">
        <f>_xlfn.XLOOKUP(Table3[[#This Row],[Emp_ID]],Table1[Emp_ID],Table1[Department])</f>
        <v>Support</v>
      </c>
      <c r="D77" t="str">
        <f>_xlfn.XLOOKUP(Table3[[#This Row],[Emp_ID]],Table1[Emp_ID],Table1[Designation])</f>
        <v>Associate / Operator</v>
      </c>
      <c r="E77" s="14">
        <f>_xlfn.XLOOKUP(Table3[[#This Row],[Emp_ID]],Table1[Emp_ID],Table1[Basic_Salary])</f>
        <v>15000</v>
      </c>
      <c r="F77" s="14">
        <f>E77*_xlfn.XLOOKUP(Table3[[#This Row],[Emp_ID]],Table1[Emp_ID],Table1[HRA_%])</f>
        <v>3000</v>
      </c>
      <c r="G77" s="14">
        <f>E77*_xlfn.XLOOKUP(Table3[[#This Row],[Emp_ID]],Table1[Emp_ID],Table1[DA_%])</f>
        <v>1200</v>
      </c>
      <c r="H77" s="14">
        <f t="shared" si="14"/>
        <v>19200</v>
      </c>
      <c r="I77" s="14">
        <f t="shared" si="15"/>
        <v>0</v>
      </c>
      <c r="J77" s="14">
        <f t="shared" si="16"/>
        <v>144</v>
      </c>
      <c r="K77" s="14">
        <f t="shared" si="17"/>
        <v>300</v>
      </c>
      <c r="L77" s="14">
        <f>ROUND((E77/26)*_xlfn.XLOOKUP(Table3[[#This Row],[Emp_ID]],Table2[Emp_ID],Table2[Total Absent]),0)</f>
        <v>577</v>
      </c>
      <c r="M77" s="14">
        <f t="shared" si="18"/>
        <v>1021</v>
      </c>
      <c r="N77" s="14">
        <f t="shared" si="19"/>
        <v>18179</v>
      </c>
      <c r="O77" t="str">
        <f t="shared" si="20"/>
        <v>Low</v>
      </c>
    </row>
    <row r="78" spans="1:15">
      <c r="A78" s="7" t="s">
        <v>86</v>
      </c>
      <c r="B78" t="str">
        <f>_xlfn.XLOOKUP(Table3[[#This Row],[Emp_ID]],Table1[Emp_ID],Table1[Full_Name ])</f>
        <v>Paresh</v>
      </c>
      <c r="C78" t="str">
        <f>_xlfn.XLOOKUP(Table3[[#This Row],[Emp_ID]],Table1[Emp_ID],Table1[Department])</f>
        <v>Support</v>
      </c>
      <c r="D78" t="str">
        <f>_xlfn.XLOOKUP(Table3[[#This Row],[Emp_ID]],Table1[Emp_ID],Table1[Designation])</f>
        <v>Executive</v>
      </c>
      <c r="E78" s="14">
        <f>_xlfn.XLOOKUP(Table3[[#This Row],[Emp_ID]],Table1[Emp_ID],Table1[Basic_Salary])</f>
        <v>20000</v>
      </c>
      <c r="F78" s="14">
        <f>E78*_xlfn.XLOOKUP(Table3[[#This Row],[Emp_ID]],Table1[Emp_ID],Table1[HRA_%])</f>
        <v>6000</v>
      </c>
      <c r="G78" s="14">
        <f>E78*_xlfn.XLOOKUP(Table3[[#This Row],[Emp_ID]],Table1[Emp_ID],Table1[DA_%])</f>
        <v>2000</v>
      </c>
      <c r="H78" s="14">
        <f t="shared" si="14"/>
        <v>28000</v>
      </c>
      <c r="I78" s="14">
        <f t="shared" si="15"/>
        <v>2400</v>
      </c>
      <c r="J78" s="14">
        <f t="shared" si="16"/>
        <v>0</v>
      </c>
      <c r="K78" s="14">
        <f t="shared" si="17"/>
        <v>200</v>
      </c>
      <c r="L78" s="14">
        <f>ROUND((E78/26)*_xlfn.XLOOKUP(Table3[[#This Row],[Emp_ID]],Table2[Emp_ID],Table2[Total Absent]),0)</f>
        <v>1538</v>
      </c>
      <c r="M78" s="14">
        <f t="shared" si="18"/>
        <v>4138</v>
      </c>
      <c r="N78" s="14">
        <f t="shared" si="19"/>
        <v>23862</v>
      </c>
      <c r="O78" t="str">
        <f t="shared" si="20"/>
        <v>Mid</v>
      </c>
    </row>
    <row r="79" spans="1:15">
      <c r="A79" s="8" t="s">
        <v>87</v>
      </c>
      <c r="B79" t="str">
        <f>_xlfn.XLOOKUP(Table3[[#This Row],[Emp_ID]],Table1[Emp_ID],Table1[Full_Name ])</f>
        <v>Bhavesh</v>
      </c>
      <c r="C79" t="str">
        <f>_xlfn.XLOOKUP(Table3[[#This Row],[Emp_ID]],Table1[Emp_ID],Table1[Department])</f>
        <v>Support</v>
      </c>
      <c r="D79" t="str">
        <f>_xlfn.XLOOKUP(Table3[[#This Row],[Emp_ID]],Table1[Emp_ID],Table1[Designation])</f>
        <v>Executive</v>
      </c>
      <c r="E79" s="14">
        <f>_xlfn.XLOOKUP(Table3[[#This Row],[Emp_ID]],Table1[Emp_ID],Table1[Basic_Salary])</f>
        <v>22000</v>
      </c>
      <c r="F79" s="14">
        <f>E79*_xlfn.XLOOKUP(Table3[[#This Row],[Emp_ID]],Table1[Emp_ID],Table1[HRA_%])</f>
        <v>6600</v>
      </c>
      <c r="G79" s="14">
        <f>E79*_xlfn.XLOOKUP(Table3[[#This Row],[Emp_ID]],Table1[Emp_ID],Table1[DA_%])</f>
        <v>2200</v>
      </c>
      <c r="H79" s="14">
        <f t="shared" si="14"/>
        <v>30800</v>
      </c>
      <c r="I79" s="14">
        <f t="shared" si="15"/>
        <v>2640</v>
      </c>
      <c r="J79" s="14">
        <f t="shared" si="16"/>
        <v>0</v>
      </c>
      <c r="K79" s="14">
        <f t="shared" si="17"/>
        <v>200</v>
      </c>
      <c r="L79" s="14">
        <f>ROUND((E79/26)*_xlfn.XLOOKUP(Table3[[#This Row],[Emp_ID]],Table2[Emp_ID],Table2[Total Absent]),0)</f>
        <v>0</v>
      </c>
      <c r="M79" s="14">
        <f t="shared" si="18"/>
        <v>2840</v>
      </c>
      <c r="N79" s="14">
        <f t="shared" si="19"/>
        <v>27960</v>
      </c>
      <c r="O79" t="str">
        <f t="shared" si="20"/>
        <v>Mid</v>
      </c>
    </row>
    <row r="80" spans="1:15">
      <c r="A80" s="7" t="s">
        <v>88</v>
      </c>
      <c r="B80" t="str">
        <f>_xlfn.XLOOKUP(Table3[[#This Row],[Emp_ID]],Table1[Emp_ID],Table1[Full_Name ])</f>
        <v>Tushar</v>
      </c>
      <c r="C80" t="str">
        <f>_xlfn.XLOOKUP(Table3[[#This Row],[Emp_ID]],Table1[Emp_ID],Table1[Department])</f>
        <v>Support</v>
      </c>
      <c r="D80" t="str">
        <f>_xlfn.XLOOKUP(Table3[[#This Row],[Emp_ID]],Table1[Emp_ID],Table1[Designation])</f>
        <v>Executive</v>
      </c>
      <c r="E80" s="14">
        <f>_xlfn.XLOOKUP(Table3[[#This Row],[Emp_ID]],Table1[Emp_ID],Table1[Basic_Salary])</f>
        <v>24000</v>
      </c>
      <c r="F80" s="14">
        <f>E80*_xlfn.XLOOKUP(Table3[[#This Row],[Emp_ID]],Table1[Emp_ID],Table1[HRA_%])</f>
        <v>7200</v>
      </c>
      <c r="G80" s="14">
        <f>E80*_xlfn.XLOOKUP(Table3[[#This Row],[Emp_ID]],Table1[Emp_ID],Table1[DA_%])</f>
        <v>2400</v>
      </c>
      <c r="H80" s="14">
        <f t="shared" si="14"/>
        <v>33600</v>
      </c>
      <c r="I80" s="14">
        <f t="shared" si="15"/>
        <v>2880</v>
      </c>
      <c r="J80" s="14">
        <f t="shared" si="16"/>
        <v>0</v>
      </c>
      <c r="K80" s="14">
        <f t="shared" si="17"/>
        <v>200</v>
      </c>
      <c r="L80" s="14">
        <f>ROUND((E80/26)*_xlfn.XLOOKUP(Table3[[#This Row],[Emp_ID]],Table2[Emp_ID],Table2[Total Absent]),0)</f>
        <v>923</v>
      </c>
      <c r="M80" s="14">
        <f t="shared" si="18"/>
        <v>4003</v>
      </c>
      <c r="N80" s="14">
        <f t="shared" si="19"/>
        <v>29597</v>
      </c>
      <c r="O80" t="str">
        <f t="shared" si="20"/>
        <v>Mid</v>
      </c>
    </row>
    <row r="81" spans="1:15">
      <c r="A81" s="8" t="s">
        <v>89</v>
      </c>
      <c r="B81" t="str">
        <f>_xlfn.XLOOKUP(Table3[[#This Row],[Emp_ID]],Table1[Emp_ID],Table1[Full_Name ])</f>
        <v>Chirag</v>
      </c>
      <c r="C81" t="str">
        <f>_xlfn.XLOOKUP(Table3[[#This Row],[Emp_ID]],Table1[Emp_ID],Table1[Department])</f>
        <v>Support</v>
      </c>
      <c r="D81" t="str">
        <f>_xlfn.XLOOKUP(Table3[[#This Row],[Emp_ID]],Table1[Emp_ID],Table1[Designation])</f>
        <v>Executive</v>
      </c>
      <c r="E81" s="14">
        <f>_xlfn.XLOOKUP(Table3[[#This Row],[Emp_ID]],Table1[Emp_ID],Table1[Basic_Salary])</f>
        <v>25000</v>
      </c>
      <c r="F81" s="14">
        <f>E81*_xlfn.XLOOKUP(Table3[[#This Row],[Emp_ID]],Table1[Emp_ID],Table1[HRA_%])</f>
        <v>7500</v>
      </c>
      <c r="G81" s="14">
        <f>E81*_xlfn.XLOOKUP(Table3[[#This Row],[Emp_ID]],Table1[Emp_ID],Table1[DA_%])</f>
        <v>2500</v>
      </c>
      <c r="H81" s="14">
        <f t="shared" si="14"/>
        <v>35000</v>
      </c>
      <c r="I81" s="14">
        <f t="shared" si="15"/>
        <v>3000</v>
      </c>
      <c r="J81" s="14">
        <f t="shared" si="16"/>
        <v>0</v>
      </c>
      <c r="K81" s="14">
        <f t="shared" si="17"/>
        <v>200</v>
      </c>
      <c r="L81" s="14">
        <f>ROUND((E81/26)*_xlfn.XLOOKUP(Table3[[#This Row],[Emp_ID]],Table2[Emp_ID],Table2[Total Absent]),0)</f>
        <v>0</v>
      </c>
      <c r="M81" s="14">
        <f t="shared" si="18"/>
        <v>3200</v>
      </c>
      <c r="N81" s="14">
        <f t="shared" si="19"/>
        <v>31800</v>
      </c>
      <c r="O81" t="str">
        <f t="shared" si="20"/>
        <v>High</v>
      </c>
    </row>
    <row r="82" spans="1:15">
      <c r="A82" s="7" t="s">
        <v>90</v>
      </c>
      <c r="B82" t="str">
        <f>_xlfn.XLOOKUP(Table3[[#This Row],[Emp_ID]],Table1[Emp_ID],Table1[Full_Name ])</f>
        <v>Nirav</v>
      </c>
      <c r="C82" t="str">
        <f>_xlfn.XLOOKUP(Table3[[#This Row],[Emp_ID]],Table1[Emp_ID],Table1[Department])</f>
        <v>Support</v>
      </c>
      <c r="D82" t="str">
        <f>_xlfn.XLOOKUP(Table3[[#This Row],[Emp_ID]],Table1[Emp_ID],Table1[Designation])</f>
        <v>Executive</v>
      </c>
      <c r="E82" s="14">
        <f>_xlfn.XLOOKUP(Table3[[#This Row],[Emp_ID]],Table1[Emp_ID],Table1[Basic_Salary])</f>
        <v>26000</v>
      </c>
      <c r="F82" s="14">
        <f>E82*_xlfn.XLOOKUP(Table3[[#This Row],[Emp_ID]],Table1[Emp_ID],Table1[HRA_%])</f>
        <v>7800</v>
      </c>
      <c r="G82" s="14">
        <f>E82*_xlfn.XLOOKUP(Table3[[#This Row],[Emp_ID]],Table1[Emp_ID],Table1[DA_%])</f>
        <v>2600</v>
      </c>
      <c r="H82" s="14">
        <f t="shared" si="14"/>
        <v>36400</v>
      </c>
      <c r="I82" s="14">
        <f t="shared" si="15"/>
        <v>3120</v>
      </c>
      <c r="J82" s="14">
        <f t="shared" si="16"/>
        <v>0</v>
      </c>
      <c r="K82" s="14">
        <f t="shared" si="17"/>
        <v>200</v>
      </c>
      <c r="L82" s="14">
        <f>ROUND((E82/26)*_xlfn.XLOOKUP(Table3[[#This Row],[Emp_ID]],Table2[Emp_ID],Table2[Total Absent]),0)</f>
        <v>1000</v>
      </c>
      <c r="M82" s="14">
        <f t="shared" si="18"/>
        <v>4320</v>
      </c>
      <c r="N82" s="14">
        <f t="shared" si="19"/>
        <v>32080</v>
      </c>
      <c r="O82" t="str">
        <f t="shared" si="20"/>
        <v>High</v>
      </c>
    </row>
    <row r="83" spans="1:15">
      <c r="A83" s="8" t="s">
        <v>91</v>
      </c>
      <c r="B83" t="str">
        <f>_xlfn.XLOOKUP(Table3[[#This Row],[Emp_ID]],Table1[Emp_ID],Table1[Full_Name ])</f>
        <v>Tejas</v>
      </c>
      <c r="C83" t="str">
        <f>_xlfn.XLOOKUP(Table3[[#This Row],[Emp_ID]],Table1[Emp_ID],Table1[Department])</f>
        <v>Support</v>
      </c>
      <c r="D83" t="str">
        <f>_xlfn.XLOOKUP(Table3[[#This Row],[Emp_ID]],Table1[Emp_ID],Table1[Designation])</f>
        <v>Executive</v>
      </c>
      <c r="E83" s="14">
        <f>_xlfn.XLOOKUP(Table3[[#This Row],[Emp_ID]],Table1[Emp_ID],Table1[Basic_Salary])</f>
        <v>24000</v>
      </c>
      <c r="F83" s="14">
        <f>E83*_xlfn.XLOOKUP(Table3[[#This Row],[Emp_ID]],Table1[Emp_ID],Table1[HRA_%])</f>
        <v>7200</v>
      </c>
      <c r="G83" s="14">
        <f>E83*_xlfn.XLOOKUP(Table3[[#This Row],[Emp_ID]],Table1[Emp_ID],Table1[DA_%])</f>
        <v>2400</v>
      </c>
      <c r="H83" s="14">
        <f t="shared" si="14"/>
        <v>33600</v>
      </c>
      <c r="I83" s="14">
        <f t="shared" si="15"/>
        <v>2880</v>
      </c>
      <c r="J83" s="14">
        <f t="shared" si="16"/>
        <v>0</v>
      </c>
      <c r="K83" s="14">
        <f t="shared" si="17"/>
        <v>200</v>
      </c>
      <c r="L83" s="14">
        <f>ROUND((E83/26)*_xlfn.XLOOKUP(Table3[[#This Row],[Emp_ID]],Table2[Emp_ID],Table2[Total Absent]),0)</f>
        <v>923</v>
      </c>
      <c r="M83" s="14">
        <f t="shared" si="18"/>
        <v>4003</v>
      </c>
      <c r="N83" s="14">
        <f t="shared" si="19"/>
        <v>29597</v>
      </c>
      <c r="O83" t="str">
        <f t="shared" si="20"/>
        <v>Mid</v>
      </c>
    </row>
    <row r="84" spans="1:15">
      <c r="A84" s="7" t="s">
        <v>92</v>
      </c>
      <c r="B84" t="str">
        <f>_xlfn.XLOOKUP(Table3[[#This Row],[Emp_ID]],Table1[Emp_ID],Table1[Full_Name ])</f>
        <v>Vishal</v>
      </c>
      <c r="C84" t="str">
        <f>_xlfn.XLOOKUP(Table3[[#This Row],[Emp_ID]],Table1[Emp_ID],Table1[Department])</f>
        <v>Support</v>
      </c>
      <c r="D84" t="str">
        <f>_xlfn.XLOOKUP(Table3[[#This Row],[Emp_ID]],Table1[Emp_ID],Table1[Designation])</f>
        <v>Associate / Operator</v>
      </c>
      <c r="E84" s="14">
        <f>_xlfn.XLOOKUP(Table3[[#This Row],[Emp_ID]],Table1[Emp_ID],Table1[Basic_Salary])</f>
        <v>13000</v>
      </c>
      <c r="F84" s="14">
        <f>E84*_xlfn.XLOOKUP(Table3[[#This Row],[Emp_ID]],Table1[Emp_ID],Table1[HRA_%])</f>
        <v>2600</v>
      </c>
      <c r="G84" s="14">
        <f>E84*_xlfn.XLOOKUP(Table3[[#This Row],[Emp_ID]],Table1[Emp_ID],Table1[DA_%])</f>
        <v>1040</v>
      </c>
      <c r="H84" s="14">
        <f t="shared" si="14"/>
        <v>16640</v>
      </c>
      <c r="I84" s="14">
        <f t="shared" si="15"/>
        <v>0</v>
      </c>
      <c r="J84" s="14">
        <f t="shared" si="16"/>
        <v>125</v>
      </c>
      <c r="K84" s="14">
        <f t="shared" si="17"/>
        <v>300</v>
      </c>
      <c r="L84" s="14">
        <f>ROUND((E84/26)*_xlfn.XLOOKUP(Table3[[#This Row],[Emp_ID]],Table2[Emp_ID],Table2[Total Absent]),0)</f>
        <v>500</v>
      </c>
      <c r="M84" s="14">
        <f t="shared" si="18"/>
        <v>925</v>
      </c>
      <c r="N84" s="14">
        <f t="shared" si="19"/>
        <v>15715</v>
      </c>
      <c r="O84" t="str">
        <f t="shared" si="20"/>
        <v>Low</v>
      </c>
    </row>
    <row r="85" spans="1:15">
      <c r="A85" s="8" t="s">
        <v>93</v>
      </c>
      <c r="B85" t="str">
        <f>_xlfn.XLOOKUP(Table3[[#This Row],[Emp_ID]],Table1[Emp_ID],Table1[Full_Name ])</f>
        <v>Hemant</v>
      </c>
      <c r="C85" t="str">
        <f>_xlfn.XLOOKUP(Table3[[#This Row],[Emp_ID]],Table1[Emp_ID],Table1[Department])</f>
        <v>Support</v>
      </c>
      <c r="D85" t="str">
        <f>_xlfn.XLOOKUP(Table3[[#This Row],[Emp_ID]],Table1[Emp_ID],Table1[Designation])</f>
        <v>Manager</v>
      </c>
      <c r="E85" s="14">
        <f>_xlfn.XLOOKUP(Table3[[#This Row],[Emp_ID]],Table1[Emp_ID],Table1[Basic_Salary])</f>
        <v>52000</v>
      </c>
      <c r="F85" s="14">
        <f>E85*_xlfn.XLOOKUP(Table3[[#This Row],[Emp_ID]],Table1[Emp_ID],Table1[HRA_%])</f>
        <v>20800</v>
      </c>
      <c r="G85" s="14">
        <f>E85*_xlfn.XLOOKUP(Table3[[#This Row],[Emp_ID]],Table1[Emp_ID],Table1[DA_%])</f>
        <v>7800</v>
      </c>
      <c r="H85" s="14">
        <f t="shared" si="14"/>
        <v>80600</v>
      </c>
      <c r="I85" s="14">
        <f t="shared" si="15"/>
        <v>6240</v>
      </c>
      <c r="J85" s="14">
        <f t="shared" si="16"/>
        <v>0</v>
      </c>
      <c r="K85" s="14">
        <f t="shared" si="17"/>
        <v>200</v>
      </c>
      <c r="L85" s="14">
        <f>ROUND((E85/26)*_xlfn.XLOOKUP(Table3[[#This Row],[Emp_ID]],Table2[Emp_ID],Table2[Total Absent]),0)</f>
        <v>2000</v>
      </c>
      <c r="M85" s="14">
        <f t="shared" si="18"/>
        <v>8440</v>
      </c>
      <c r="N85" s="14">
        <f t="shared" si="19"/>
        <v>72160</v>
      </c>
      <c r="O85" t="str">
        <f t="shared" si="20"/>
        <v>High</v>
      </c>
    </row>
    <row r="86" spans="1:15">
      <c r="A86" s="7" t="s">
        <v>94</v>
      </c>
      <c r="B86" t="str">
        <f>_xlfn.XLOOKUP(Table3[[#This Row],[Emp_ID]],Table1[Emp_ID],Table1[Full_Name ])</f>
        <v>Lokesh</v>
      </c>
      <c r="C86" t="str">
        <f>_xlfn.XLOOKUP(Table3[[#This Row],[Emp_ID]],Table1[Emp_ID],Table1[Department])</f>
        <v>Support</v>
      </c>
      <c r="D86" t="str">
        <f>_xlfn.XLOOKUP(Table3[[#This Row],[Emp_ID]],Table1[Emp_ID],Table1[Designation])</f>
        <v>Associate / Operator</v>
      </c>
      <c r="E86" s="14">
        <f>_xlfn.XLOOKUP(Table3[[#This Row],[Emp_ID]],Table1[Emp_ID],Table1[Basic_Salary])</f>
        <v>14000</v>
      </c>
      <c r="F86" s="14">
        <f>E86*_xlfn.XLOOKUP(Table3[[#This Row],[Emp_ID]],Table1[Emp_ID],Table1[HRA_%])</f>
        <v>2800</v>
      </c>
      <c r="G86" s="14">
        <f>E86*_xlfn.XLOOKUP(Table3[[#This Row],[Emp_ID]],Table1[Emp_ID],Table1[DA_%])</f>
        <v>1120</v>
      </c>
      <c r="H86" s="14">
        <f t="shared" si="14"/>
        <v>17920</v>
      </c>
      <c r="I86" s="14">
        <f t="shared" si="15"/>
        <v>0</v>
      </c>
      <c r="J86" s="14">
        <f t="shared" si="16"/>
        <v>134</v>
      </c>
      <c r="K86" s="14">
        <f t="shared" si="17"/>
        <v>300</v>
      </c>
      <c r="L86" s="14">
        <f>ROUND((E86/26)*_xlfn.XLOOKUP(Table3[[#This Row],[Emp_ID]],Table2[Emp_ID],Table2[Total Absent]),0)</f>
        <v>538</v>
      </c>
      <c r="M86" s="14">
        <f t="shared" si="18"/>
        <v>972</v>
      </c>
      <c r="N86" s="14">
        <f t="shared" si="19"/>
        <v>16948</v>
      </c>
      <c r="O86" t="str">
        <f t="shared" si="20"/>
        <v>Low</v>
      </c>
    </row>
    <row r="87" spans="1:15">
      <c r="A87" s="8" t="s">
        <v>95</v>
      </c>
      <c r="B87" t="str">
        <f>_xlfn.XLOOKUP(Table3[[#This Row],[Emp_ID]],Table1[Emp_ID],Table1[Full_Name ])</f>
        <v>Dinesh</v>
      </c>
      <c r="C87" t="str">
        <f>_xlfn.XLOOKUP(Table3[[#This Row],[Emp_ID]],Table1[Emp_ID],Table1[Department])</f>
        <v>Support</v>
      </c>
      <c r="D87" t="str">
        <f>_xlfn.XLOOKUP(Table3[[#This Row],[Emp_ID]],Table1[Emp_ID],Table1[Designation])</f>
        <v>Associate / Operator</v>
      </c>
      <c r="E87" s="14">
        <f>_xlfn.XLOOKUP(Table3[[#This Row],[Emp_ID]],Table1[Emp_ID],Table1[Basic_Salary])</f>
        <v>15000</v>
      </c>
      <c r="F87" s="14">
        <f>E87*_xlfn.XLOOKUP(Table3[[#This Row],[Emp_ID]],Table1[Emp_ID],Table1[HRA_%])</f>
        <v>3000</v>
      </c>
      <c r="G87" s="14">
        <f>E87*_xlfn.XLOOKUP(Table3[[#This Row],[Emp_ID]],Table1[Emp_ID],Table1[DA_%])</f>
        <v>1200</v>
      </c>
      <c r="H87" s="14">
        <f t="shared" si="14"/>
        <v>19200</v>
      </c>
      <c r="I87" s="14">
        <f t="shared" si="15"/>
        <v>0</v>
      </c>
      <c r="J87" s="14">
        <f t="shared" si="16"/>
        <v>144</v>
      </c>
      <c r="K87" s="14">
        <f t="shared" si="17"/>
        <v>300</v>
      </c>
      <c r="L87" s="14">
        <f>ROUND((E87/26)*_xlfn.XLOOKUP(Table3[[#This Row],[Emp_ID]],Table2[Emp_ID],Table2[Total Absent]),0)</f>
        <v>577</v>
      </c>
      <c r="M87" s="14">
        <f t="shared" si="18"/>
        <v>1021</v>
      </c>
      <c r="N87" s="14">
        <f t="shared" si="19"/>
        <v>18179</v>
      </c>
      <c r="O87" t="str">
        <f t="shared" si="20"/>
        <v>Low</v>
      </c>
    </row>
    <row r="88" spans="1:15">
      <c r="A88" s="7" t="s">
        <v>96</v>
      </c>
      <c r="B88" t="str">
        <f>_xlfn.XLOOKUP(Table3[[#This Row],[Emp_ID]],Table1[Emp_ID],Table1[Full_Name ])</f>
        <v>Umesh</v>
      </c>
      <c r="C88" t="str">
        <f>_xlfn.XLOOKUP(Table3[[#This Row],[Emp_ID]],Table1[Emp_ID],Table1[Department])</f>
        <v>Accounts</v>
      </c>
      <c r="D88" t="str">
        <f>_xlfn.XLOOKUP(Table3[[#This Row],[Emp_ID]],Table1[Emp_ID],Table1[Designation])</f>
        <v>Associate / Operator</v>
      </c>
      <c r="E88" s="14">
        <f>_xlfn.XLOOKUP(Table3[[#This Row],[Emp_ID]],Table1[Emp_ID],Table1[Basic_Salary])</f>
        <v>13500</v>
      </c>
      <c r="F88" s="14">
        <f>E88*_xlfn.XLOOKUP(Table3[[#This Row],[Emp_ID]],Table1[Emp_ID],Table1[HRA_%])</f>
        <v>2700</v>
      </c>
      <c r="G88" s="14">
        <f>E88*_xlfn.XLOOKUP(Table3[[#This Row],[Emp_ID]],Table1[Emp_ID],Table1[DA_%])</f>
        <v>1080</v>
      </c>
      <c r="H88" s="14">
        <f t="shared" si="14"/>
        <v>17280</v>
      </c>
      <c r="I88" s="14">
        <f t="shared" si="15"/>
        <v>0</v>
      </c>
      <c r="J88" s="14">
        <f t="shared" si="16"/>
        <v>130</v>
      </c>
      <c r="K88" s="14">
        <f t="shared" si="17"/>
        <v>300</v>
      </c>
      <c r="L88" s="14">
        <f>ROUND((E88/26)*_xlfn.XLOOKUP(Table3[[#This Row],[Emp_ID]],Table2[Emp_ID],Table2[Total Absent]),0)</f>
        <v>0</v>
      </c>
      <c r="M88" s="14">
        <f t="shared" si="18"/>
        <v>430</v>
      </c>
      <c r="N88" s="14">
        <f t="shared" si="19"/>
        <v>16850</v>
      </c>
      <c r="O88" t="str">
        <f t="shared" si="20"/>
        <v>Low</v>
      </c>
    </row>
    <row r="89" spans="1:15">
      <c r="A89" s="8" t="s">
        <v>97</v>
      </c>
      <c r="B89" t="str">
        <f>_xlfn.XLOOKUP(Table3[[#This Row],[Emp_ID]],Table1[Emp_ID],Table1[Full_Name ])</f>
        <v>Naresh</v>
      </c>
      <c r="C89" t="str">
        <f>_xlfn.XLOOKUP(Table3[[#This Row],[Emp_ID]],Table1[Emp_ID],Table1[Department])</f>
        <v>Accounts</v>
      </c>
      <c r="D89" t="str">
        <f>_xlfn.XLOOKUP(Table3[[#This Row],[Emp_ID]],Table1[Emp_ID],Table1[Designation])</f>
        <v>Associate / Operator</v>
      </c>
      <c r="E89" s="14">
        <f>_xlfn.XLOOKUP(Table3[[#This Row],[Emp_ID]],Table1[Emp_ID],Table1[Basic_Salary])</f>
        <v>13000</v>
      </c>
      <c r="F89" s="14">
        <f>E89*_xlfn.XLOOKUP(Table3[[#This Row],[Emp_ID]],Table1[Emp_ID],Table1[HRA_%])</f>
        <v>2600</v>
      </c>
      <c r="G89" s="14">
        <f>E89*_xlfn.XLOOKUP(Table3[[#This Row],[Emp_ID]],Table1[Emp_ID],Table1[DA_%])</f>
        <v>1040</v>
      </c>
      <c r="H89" s="14">
        <f t="shared" si="14"/>
        <v>16640</v>
      </c>
      <c r="I89" s="14">
        <f t="shared" si="15"/>
        <v>0</v>
      </c>
      <c r="J89" s="14">
        <f t="shared" si="16"/>
        <v>125</v>
      </c>
      <c r="K89" s="14">
        <f t="shared" si="17"/>
        <v>300</v>
      </c>
      <c r="L89" s="14">
        <f>ROUND((E89/26)*_xlfn.XLOOKUP(Table3[[#This Row],[Emp_ID]],Table2[Emp_ID],Table2[Total Absent]),0)</f>
        <v>500</v>
      </c>
      <c r="M89" s="14">
        <f t="shared" si="18"/>
        <v>925</v>
      </c>
      <c r="N89" s="14">
        <f t="shared" si="19"/>
        <v>15715</v>
      </c>
      <c r="O89" t="str">
        <f t="shared" si="20"/>
        <v>Low</v>
      </c>
    </row>
    <row r="90" spans="1:15">
      <c r="A90" s="7" t="s">
        <v>98</v>
      </c>
      <c r="B90" t="str">
        <f>_xlfn.XLOOKUP(Table3[[#This Row],[Emp_ID]],Table1[Emp_ID],Table1[Full_Name ])</f>
        <v>Rajiv</v>
      </c>
      <c r="C90" t="str">
        <f>_xlfn.XLOOKUP(Table3[[#This Row],[Emp_ID]],Table1[Emp_ID],Table1[Department])</f>
        <v>Accounts</v>
      </c>
      <c r="D90" t="str">
        <f>_xlfn.XLOOKUP(Table3[[#This Row],[Emp_ID]],Table1[Emp_ID],Table1[Designation])</f>
        <v>Manager</v>
      </c>
      <c r="E90" s="14">
        <f>_xlfn.XLOOKUP(Table3[[#This Row],[Emp_ID]],Table1[Emp_ID],Table1[Basic_Salary])</f>
        <v>60000</v>
      </c>
      <c r="F90" s="14">
        <f>E90*_xlfn.XLOOKUP(Table3[[#This Row],[Emp_ID]],Table1[Emp_ID],Table1[HRA_%])</f>
        <v>24000</v>
      </c>
      <c r="G90" s="14">
        <f>E90*_xlfn.XLOOKUP(Table3[[#This Row],[Emp_ID]],Table1[Emp_ID],Table1[DA_%])</f>
        <v>9000</v>
      </c>
      <c r="H90" s="14">
        <f t="shared" si="14"/>
        <v>93000</v>
      </c>
      <c r="I90" s="14">
        <f t="shared" si="15"/>
        <v>7200</v>
      </c>
      <c r="J90" s="14">
        <f t="shared" si="16"/>
        <v>0</v>
      </c>
      <c r="K90" s="14">
        <f t="shared" si="17"/>
        <v>200</v>
      </c>
      <c r="L90" s="14">
        <f>ROUND((E90/26)*_xlfn.XLOOKUP(Table3[[#This Row],[Emp_ID]],Table2[Emp_ID],Table2[Total Absent]),0)</f>
        <v>0</v>
      </c>
      <c r="M90" s="14">
        <f t="shared" si="18"/>
        <v>7400</v>
      </c>
      <c r="N90" s="14">
        <f t="shared" si="19"/>
        <v>85600</v>
      </c>
      <c r="O90" t="str">
        <f t="shared" si="20"/>
        <v>High</v>
      </c>
    </row>
    <row r="91" spans="1:15">
      <c r="A91" s="8" t="s">
        <v>99</v>
      </c>
      <c r="B91" t="str">
        <f>_xlfn.XLOOKUP(Table3[[#This Row],[Emp_ID]],Table1[Emp_ID],Table1[Full_Name ])</f>
        <v>Suresh</v>
      </c>
      <c r="C91" t="str">
        <f>_xlfn.XLOOKUP(Table3[[#This Row],[Emp_ID]],Table1[Emp_ID],Table1[Department])</f>
        <v>Accounts</v>
      </c>
      <c r="D91" t="str">
        <f>_xlfn.XLOOKUP(Table3[[#This Row],[Emp_ID]],Table1[Emp_ID],Table1[Designation])</f>
        <v>Associate / Operator</v>
      </c>
      <c r="E91" s="14">
        <f>_xlfn.XLOOKUP(Table3[[#This Row],[Emp_ID]],Table1[Emp_ID],Table1[Basic_Salary])</f>
        <v>14000</v>
      </c>
      <c r="F91" s="14">
        <f>E91*_xlfn.XLOOKUP(Table3[[#This Row],[Emp_ID]],Table1[Emp_ID],Table1[HRA_%])</f>
        <v>2800</v>
      </c>
      <c r="G91" s="14">
        <f>E91*_xlfn.XLOOKUP(Table3[[#This Row],[Emp_ID]],Table1[Emp_ID],Table1[DA_%])</f>
        <v>1120</v>
      </c>
      <c r="H91" s="14">
        <f t="shared" si="14"/>
        <v>17920</v>
      </c>
      <c r="I91" s="14">
        <f t="shared" si="15"/>
        <v>0</v>
      </c>
      <c r="J91" s="14">
        <f t="shared" si="16"/>
        <v>134</v>
      </c>
      <c r="K91" s="14">
        <f t="shared" si="17"/>
        <v>300</v>
      </c>
      <c r="L91" s="14">
        <f>ROUND((E91/26)*_xlfn.XLOOKUP(Table3[[#This Row],[Emp_ID]],Table2[Emp_ID],Table2[Total Absent]),0)</f>
        <v>538</v>
      </c>
      <c r="M91" s="14">
        <f t="shared" si="18"/>
        <v>972</v>
      </c>
      <c r="N91" s="14">
        <f t="shared" si="19"/>
        <v>16948</v>
      </c>
      <c r="O91" t="str">
        <f t="shared" si="20"/>
        <v>Low</v>
      </c>
    </row>
    <row r="92" spans="1:15">
      <c r="A92" s="7" t="s">
        <v>100</v>
      </c>
      <c r="B92" t="str">
        <f>_xlfn.XLOOKUP(Table3[[#This Row],[Emp_ID]],Table1[Emp_ID],Table1[Full_Name ])</f>
        <v>Girish</v>
      </c>
      <c r="C92" t="str">
        <f>_xlfn.XLOOKUP(Table3[[#This Row],[Emp_ID]],Table1[Emp_ID],Table1[Department])</f>
        <v>Accounts</v>
      </c>
      <c r="D92" t="str">
        <f>_xlfn.XLOOKUP(Table3[[#This Row],[Emp_ID]],Table1[Emp_ID],Table1[Designation])</f>
        <v>Executive</v>
      </c>
      <c r="E92" s="14">
        <f>_xlfn.XLOOKUP(Table3[[#This Row],[Emp_ID]],Table1[Emp_ID],Table1[Basic_Salary])</f>
        <v>29000</v>
      </c>
      <c r="F92" s="14">
        <f>E92*_xlfn.XLOOKUP(Table3[[#This Row],[Emp_ID]],Table1[Emp_ID],Table1[HRA_%])</f>
        <v>8700</v>
      </c>
      <c r="G92" s="14">
        <f>E92*_xlfn.XLOOKUP(Table3[[#This Row],[Emp_ID]],Table1[Emp_ID],Table1[DA_%])</f>
        <v>2900</v>
      </c>
      <c r="H92" s="14">
        <f t="shared" si="14"/>
        <v>40600</v>
      </c>
      <c r="I92" s="14">
        <f t="shared" si="15"/>
        <v>3480</v>
      </c>
      <c r="J92" s="14">
        <f t="shared" si="16"/>
        <v>0</v>
      </c>
      <c r="K92" s="14">
        <f t="shared" si="17"/>
        <v>200</v>
      </c>
      <c r="L92" s="14">
        <f>ROUND((E92/26)*_xlfn.XLOOKUP(Table3[[#This Row],[Emp_ID]],Table2[Emp_ID],Table2[Total Absent]),0)</f>
        <v>2231</v>
      </c>
      <c r="M92" s="14">
        <f t="shared" si="18"/>
        <v>5911</v>
      </c>
      <c r="N92" s="14">
        <f t="shared" si="19"/>
        <v>34689</v>
      </c>
      <c r="O92" t="str">
        <f t="shared" si="20"/>
        <v>High</v>
      </c>
    </row>
    <row r="93" spans="1:15">
      <c r="A93" s="8" t="s">
        <v>101</v>
      </c>
      <c r="B93" t="str">
        <f>_xlfn.XLOOKUP(Table3[[#This Row],[Emp_ID]],Table1[Emp_ID],Table1[Full_Name ])</f>
        <v>Kishore</v>
      </c>
      <c r="C93" t="str">
        <f>_xlfn.XLOOKUP(Table3[[#This Row],[Emp_ID]],Table1[Emp_ID],Table1[Department])</f>
        <v>Accounts</v>
      </c>
      <c r="D93" t="str">
        <f>_xlfn.XLOOKUP(Table3[[#This Row],[Emp_ID]],Table1[Emp_ID],Table1[Designation])</f>
        <v>Executive</v>
      </c>
      <c r="E93" s="14">
        <f>_xlfn.XLOOKUP(Table3[[#This Row],[Emp_ID]],Table1[Emp_ID],Table1[Basic_Salary])</f>
        <v>27000</v>
      </c>
      <c r="F93" s="14">
        <f>E93*_xlfn.XLOOKUP(Table3[[#This Row],[Emp_ID]],Table1[Emp_ID],Table1[HRA_%])</f>
        <v>8100</v>
      </c>
      <c r="G93" s="14">
        <f>E93*_xlfn.XLOOKUP(Table3[[#This Row],[Emp_ID]],Table1[Emp_ID],Table1[DA_%])</f>
        <v>2700</v>
      </c>
      <c r="H93" s="14">
        <f t="shared" si="14"/>
        <v>37800</v>
      </c>
      <c r="I93" s="14">
        <f t="shared" si="15"/>
        <v>3240</v>
      </c>
      <c r="J93" s="14">
        <f t="shared" si="16"/>
        <v>0</v>
      </c>
      <c r="K93" s="14">
        <f t="shared" si="17"/>
        <v>200</v>
      </c>
      <c r="L93" s="14">
        <f>ROUND((E93/26)*_xlfn.XLOOKUP(Table3[[#This Row],[Emp_ID]],Table2[Emp_ID],Table2[Total Absent]),0)</f>
        <v>1038</v>
      </c>
      <c r="M93" s="14">
        <f t="shared" si="18"/>
        <v>4478</v>
      </c>
      <c r="N93" s="14">
        <f t="shared" si="19"/>
        <v>33322</v>
      </c>
      <c r="O93" t="str">
        <f t="shared" si="20"/>
        <v>High</v>
      </c>
    </row>
    <row r="94" spans="1:15">
      <c r="A94" s="7" t="s">
        <v>102</v>
      </c>
      <c r="B94" t="str">
        <f>_xlfn.XLOOKUP(Table3[[#This Row],[Emp_ID]],Table1[Emp_ID],Table1[Full_Name ])</f>
        <v>Bharat</v>
      </c>
      <c r="C94" t="str">
        <f>_xlfn.XLOOKUP(Table3[[#This Row],[Emp_ID]],Table1[Emp_ID],Table1[Department])</f>
        <v>HR</v>
      </c>
      <c r="D94" t="str">
        <f>_xlfn.XLOOKUP(Table3[[#This Row],[Emp_ID]],Table1[Emp_ID],Table1[Designation])</f>
        <v>Senior Executive</v>
      </c>
      <c r="E94" s="14">
        <f>_xlfn.XLOOKUP(Table3[[#This Row],[Emp_ID]],Table1[Emp_ID],Table1[Basic_Salary])</f>
        <v>39000</v>
      </c>
      <c r="F94" s="14">
        <f>E94*_xlfn.XLOOKUP(Table3[[#This Row],[Emp_ID]],Table1[Emp_ID],Table1[HRA_%])</f>
        <v>13650</v>
      </c>
      <c r="G94" s="14">
        <f>E94*_xlfn.XLOOKUP(Table3[[#This Row],[Emp_ID]],Table1[Emp_ID],Table1[DA_%])</f>
        <v>4680</v>
      </c>
      <c r="H94" s="14">
        <f t="shared" si="14"/>
        <v>57330</v>
      </c>
      <c r="I94" s="14">
        <f t="shared" si="15"/>
        <v>4680</v>
      </c>
      <c r="J94" s="14">
        <f t="shared" si="16"/>
        <v>0</v>
      </c>
      <c r="K94" s="14">
        <f t="shared" si="17"/>
        <v>200</v>
      </c>
      <c r="L94" s="14">
        <f>ROUND((E94/26)*_xlfn.XLOOKUP(Table3[[#This Row],[Emp_ID]],Table2[Emp_ID],Table2[Total Absent]),0)</f>
        <v>1500</v>
      </c>
      <c r="M94" s="14">
        <f t="shared" si="18"/>
        <v>6380</v>
      </c>
      <c r="N94" s="14">
        <f t="shared" si="19"/>
        <v>50950</v>
      </c>
      <c r="O94" t="str">
        <f t="shared" si="20"/>
        <v>High</v>
      </c>
    </row>
    <row r="95" spans="1:15">
      <c r="A95" s="8" t="s">
        <v>103</v>
      </c>
      <c r="B95" t="str">
        <f>_xlfn.XLOOKUP(Table3[[#This Row],[Emp_ID]],Table1[Emp_ID],Table1[Full_Name ])</f>
        <v>Mohan</v>
      </c>
      <c r="C95" t="str">
        <f>_xlfn.XLOOKUP(Table3[[#This Row],[Emp_ID]],Table1[Emp_ID],Table1[Department])</f>
        <v>HR</v>
      </c>
      <c r="D95" t="str">
        <f>_xlfn.XLOOKUP(Table3[[#This Row],[Emp_ID]],Table1[Emp_ID],Table1[Designation])</f>
        <v>Associate / Operator</v>
      </c>
      <c r="E95" s="14">
        <f>_xlfn.XLOOKUP(Table3[[#This Row],[Emp_ID]],Table1[Emp_ID],Table1[Basic_Salary])</f>
        <v>15000</v>
      </c>
      <c r="F95" s="14">
        <f>E95*_xlfn.XLOOKUP(Table3[[#This Row],[Emp_ID]],Table1[Emp_ID],Table1[HRA_%])</f>
        <v>3000</v>
      </c>
      <c r="G95" s="14">
        <f>E95*_xlfn.XLOOKUP(Table3[[#This Row],[Emp_ID]],Table1[Emp_ID],Table1[DA_%])</f>
        <v>1200</v>
      </c>
      <c r="H95" s="14">
        <f t="shared" si="14"/>
        <v>19200</v>
      </c>
      <c r="I95" s="14">
        <f t="shared" si="15"/>
        <v>0</v>
      </c>
      <c r="J95" s="14">
        <f t="shared" si="16"/>
        <v>144</v>
      </c>
      <c r="K95" s="14">
        <f t="shared" si="17"/>
        <v>300</v>
      </c>
      <c r="L95" s="14">
        <f>ROUND((E95/26)*_xlfn.XLOOKUP(Table3[[#This Row],[Emp_ID]],Table2[Emp_ID],Table2[Total Absent]),0)</f>
        <v>577</v>
      </c>
      <c r="M95" s="14">
        <f t="shared" si="18"/>
        <v>1021</v>
      </c>
      <c r="N95" s="14">
        <f t="shared" si="19"/>
        <v>18179</v>
      </c>
      <c r="O95" t="str">
        <f t="shared" si="20"/>
        <v>Low</v>
      </c>
    </row>
    <row r="96" spans="1:15">
      <c r="A96" s="7" t="s">
        <v>104</v>
      </c>
      <c r="B96" t="str">
        <f>_xlfn.XLOOKUP(Table3[[#This Row],[Emp_ID]],Table1[Emp_ID],Table1[Full_Name ])</f>
        <v>Shyam</v>
      </c>
      <c r="C96" t="str">
        <f>_xlfn.XLOOKUP(Table3[[#This Row],[Emp_ID]],Table1[Emp_ID],Table1[Department])</f>
        <v>HR</v>
      </c>
      <c r="D96" t="str">
        <f>_xlfn.XLOOKUP(Table3[[#This Row],[Emp_ID]],Table1[Emp_ID],Table1[Designation])</f>
        <v>Executive</v>
      </c>
      <c r="E96" s="14">
        <f>_xlfn.XLOOKUP(Table3[[#This Row],[Emp_ID]],Table1[Emp_ID],Table1[Basic_Salary])</f>
        <v>24000</v>
      </c>
      <c r="F96" s="14">
        <f>E96*_xlfn.XLOOKUP(Table3[[#This Row],[Emp_ID]],Table1[Emp_ID],Table1[HRA_%])</f>
        <v>7200</v>
      </c>
      <c r="G96" s="14">
        <f>E96*_xlfn.XLOOKUP(Table3[[#This Row],[Emp_ID]],Table1[Emp_ID],Table1[DA_%])</f>
        <v>2400</v>
      </c>
      <c r="H96" s="14">
        <f t="shared" si="14"/>
        <v>33600</v>
      </c>
      <c r="I96" s="14">
        <f t="shared" si="15"/>
        <v>2880</v>
      </c>
      <c r="J96" s="14">
        <f t="shared" si="16"/>
        <v>0</v>
      </c>
      <c r="K96" s="14">
        <f t="shared" si="17"/>
        <v>200</v>
      </c>
      <c r="L96" s="14">
        <f>ROUND((E96/26)*_xlfn.XLOOKUP(Table3[[#This Row],[Emp_ID]],Table2[Emp_ID],Table2[Total Absent]),0)</f>
        <v>1846</v>
      </c>
      <c r="M96" s="14">
        <f t="shared" si="18"/>
        <v>4926</v>
      </c>
      <c r="N96" s="14">
        <f t="shared" si="19"/>
        <v>28674</v>
      </c>
      <c r="O96" t="str">
        <f t="shared" si="20"/>
        <v>Mid</v>
      </c>
    </row>
    <row r="97" spans="1:15">
      <c r="A97" s="8" t="s">
        <v>105</v>
      </c>
      <c r="B97" t="str">
        <f>_xlfn.XLOOKUP(Table3[[#This Row],[Emp_ID]],Table1[Emp_ID],Table1[Full_Name ])</f>
        <v>Ramesh</v>
      </c>
      <c r="C97" t="str">
        <f>_xlfn.XLOOKUP(Table3[[#This Row],[Emp_ID]],Table1[Emp_ID],Table1[Department])</f>
        <v>HR</v>
      </c>
      <c r="D97" t="str">
        <f>_xlfn.XLOOKUP(Table3[[#This Row],[Emp_ID]],Table1[Emp_ID],Table1[Designation])</f>
        <v>Manager</v>
      </c>
      <c r="E97" s="14">
        <f>_xlfn.XLOOKUP(Table3[[#This Row],[Emp_ID]],Table1[Emp_ID],Table1[Basic_Salary])</f>
        <v>58000</v>
      </c>
      <c r="F97" s="14">
        <f>E97*_xlfn.XLOOKUP(Table3[[#This Row],[Emp_ID]],Table1[Emp_ID],Table1[HRA_%])</f>
        <v>23200</v>
      </c>
      <c r="G97" s="14">
        <f>E97*_xlfn.XLOOKUP(Table3[[#This Row],[Emp_ID]],Table1[Emp_ID],Table1[DA_%])</f>
        <v>8700</v>
      </c>
      <c r="H97" s="14">
        <f t="shared" si="14"/>
        <v>89900</v>
      </c>
      <c r="I97" s="14">
        <f t="shared" si="15"/>
        <v>6960</v>
      </c>
      <c r="J97" s="14">
        <f t="shared" si="16"/>
        <v>0</v>
      </c>
      <c r="K97" s="14">
        <f t="shared" si="17"/>
        <v>200</v>
      </c>
      <c r="L97" s="14">
        <f>ROUND((E97/26)*_xlfn.XLOOKUP(Table3[[#This Row],[Emp_ID]],Table2[Emp_ID],Table2[Total Absent]),0)</f>
        <v>0</v>
      </c>
      <c r="M97" s="14">
        <f t="shared" si="18"/>
        <v>7160</v>
      </c>
      <c r="N97" s="14">
        <f t="shared" si="19"/>
        <v>82740</v>
      </c>
      <c r="O97" t="str">
        <f t="shared" si="20"/>
        <v>High</v>
      </c>
    </row>
    <row r="98" spans="1:15">
      <c r="A98" s="7" t="s">
        <v>106</v>
      </c>
      <c r="B98" t="str">
        <f>_xlfn.XLOOKUP(Table3[[#This Row],[Emp_ID]],Table1[Emp_ID],Table1[Full_Name ])</f>
        <v>Govind</v>
      </c>
      <c r="C98" t="str">
        <f>_xlfn.XLOOKUP(Table3[[#This Row],[Emp_ID]],Table1[Emp_ID],Table1[Department])</f>
        <v>HR</v>
      </c>
      <c r="D98" t="str">
        <f>_xlfn.XLOOKUP(Table3[[#This Row],[Emp_ID]],Table1[Emp_ID],Table1[Designation])</f>
        <v>Executive</v>
      </c>
      <c r="E98" s="14">
        <f>_xlfn.XLOOKUP(Table3[[#This Row],[Emp_ID]],Table1[Emp_ID],Table1[Basic_Salary])</f>
        <v>26000</v>
      </c>
      <c r="F98" s="14">
        <f>E98*_xlfn.XLOOKUP(Table3[[#This Row],[Emp_ID]],Table1[Emp_ID],Table1[HRA_%])</f>
        <v>7800</v>
      </c>
      <c r="G98" s="14">
        <f>E98*_xlfn.XLOOKUP(Table3[[#This Row],[Emp_ID]],Table1[Emp_ID],Table1[DA_%])</f>
        <v>2600</v>
      </c>
      <c r="H98" s="14">
        <f t="shared" ref="H98:H107" si="21">E98+F98+G98</f>
        <v>36400</v>
      </c>
      <c r="I98" s="14">
        <f t="shared" ref="I98:I107" si="22">IF(E98&gt;15000,ROUND(E98*0.12,0),0)</f>
        <v>3120</v>
      </c>
      <c r="J98" s="14">
        <f t="shared" ref="J98:J107" si="23">IF(H98&lt;21000,ROUND(H98*0.0075,0),0)</f>
        <v>0</v>
      </c>
      <c r="K98" s="14">
        <f t="shared" ref="K98:K107" si="24">IF(H98&lt;=10000,0,IF(H98&lt;=15000,150,IF(H98&lt;=25000,300,200)))</f>
        <v>200</v>
      </c>
      <c r="L98" s="14">
        <f>ROUND((E98/26)*_xlfn.XLOOKUP(Table3[[#This Row],[Emp_ID]],Table2[Emp_ID],Table2[Total Absent]),0)</f>
        <v>0</v>
      </c>
      <c r="M98" s="14">
        <f t="shared" ref="M98:M107" si="25">I98+J98+K98+L98</f>
        <v>3320</v>
      </c>
      <c r="N98" s="14">
        <f t="shared" ref="N98:N107" si="26">H98-M98</f>
        <v>33080</v>
      </c>
      <c r="O98" t="str">
        <f t="shared" ref="O98:O107" si="27">IF(N98&gt;=30000,"High",IF(N98&gt;=20000,"Mid",IF(N98&gt;=12000,"Low","Review")))</f>
        <v>High</v>
      </c>
    </row>
    <row r="99" spans="1:15">
      <c r="A99" s="8" t="s">
        <v>107</v>
      </c>
      <c r="B99" t="str">
        <f>_xlfn.XLOOKUP(Table3[[#This Row],[Emp_ID]],Table1[Emp_ID],Table1[Full_Name ])</f>
        <v>Balram</v>
      </c>
      <c r="C99" t="str">
        <f>_xlfn.XLOOKUP(Table3[[#This Row],[Emp_ID]],Table1[Emp_ID],Table1[Department])</f>
        <v>HR</v>
      </c>
      <c r="D99" t="str">
        <f>_xlfn.XLOOKUP(Table3[[#This Row],[Emp_ID]],Table1[Emp_ID],Table1[Designation])</f>
        <v>Associate / Operator</v>
      </c>
      <c r="E99" s="14">
        <f>_xlfn.XLOOKUP(Table3[[#This Row],[Emp_ID]],Table1[Emp_ID],Table1[Basic_Salary])</f>
        <v>14000</v>
      </c>
      <c r="F99" s="14">
        <f>E99*_xlfn.XLOOKUP(Table3[[#This Row],[Emp_ID]],Table1[Emp_ID],Table1[HRA_%])</f>
        <v>2800</v>
      </c>
      <c r="G99" s="14">
        <f>E99*_xlfn.XLOOKUP(Table3[[#This Row],[Emp_ID]],Table1[Emp_ID],Table1[DA_%])</f>
        <v>1120</v>
      </c>
      <c r="H99" s="14">
        <f t="shared" si="21"/>
        <v>17920</v>
      </c>
      <c r="I99" s="14">
        <f t="shared" si="22"/>
        <v>0</v>
      </c>
      <c r="J99" s="14">
        <f t="shared" si="23"/>
        <v>134</v>
      </c>
      <c r="K99" s="14">
        <f t="shared" si="24"/>
        <v>300</v>
      </c>
      <c r="L99" s="14">
        <f>ROUND((E99/26)*_xlfn.XLOOKUP(Table3[[#This Row],[Emp_ID]],Table2[Emp_ID],Table2[Total Absent]),0)</f>
        <v>0</v>
      </c>
      <c r="M99" s="14">
        <f t="shared" si="25"/>
        <v>434</v>
      </c>
      <c r="N99" s="14">
        <f t="shared" si="26"/>
        <v>17486</v>
      </c>
      <c r="O99" t="str">
        <f t="shared" si="27"/>
        <v>Low</v>
      </c>
    </row>
    <row r="100" spans="1:15">
      <c r="A100" s="7" t="s">
        <v>108</v>
      </c>
      <c r="B100" t="str">
        <f>_xlfn.XLOOKUP(Table3[[#This Row],[Emp_ID]],Table1[Emp_ID],Table1[Full_Name ])</f>
        <v>Keshav</v>
      </c>
      <c r="C100" t="str">
        <f>_xlfn.XLOOKUP(Table3[[#This Row],[Emp_ID]],Table1[Emp_ID],Table1[Department])</f>
        <v>IT</v>
      </c>
      <c r="D100" t="str">
        <f>_xlfn.XLOOKUP(Table3[[#This Row],[Emp_ID]],Table1[Emp_ID],Table1[Designation])</f>
        <v>Associate / Operator</v>
      </c>
      <c r="E100" s="14">
        <f>_xlfn.XLOOKUP(Table3[[#This Row],[Emp_ID]],Table1[Emp_ID],Table1[Basic_Salary])</f>
        <v>16000</v>
      </c>
      <c r="F100" s="14">
        <f>E100*_xlfn.XLOOKUP(Table3[[#This Row],[Emp_ID]],Table1[Emp_ID],Table1[HRA_%])</f>
        <v>3200</v>
      </c>
      <c r="G100" s="14">
        <f>E100*_xlfn.XLOOKUP(Table3[[#This Row],[Emp_ID]],Table1[Emp_ID],Table1[DA_%])</f>
        <v>1280</v>
      </c>
      <c r="H100" s="14">
        <f t="shared" si="21"/>
        <v>20480</v>
      </c>
      <c r="I100" s="14">
        <f t="shared" si="22"/>
        <v>1920</v>
      </c>
      <c r="J100" s="14">
        <f t="shared" si="23"/>
        <v>154</v>
      </c>
      <c r="K100" s="14">
        <f t="shared" si="24"/>
        <v>300</v>
      </c>
      <c r="L100" s="14">
        <f>ROUND((E100/26)*_xlfn.XLOOKUP(Table3[[#This Row],[Emp_ID]],Table2[Emp_ID],Table2[Total Absent]),0)</f>
        <v>615</v>
      </c>
      <c r="M100" s="14">
        <f t="shared" si="25"/>
        <v>2989</v>
      </c>
      <c r="N100" s="14">
        <f t="shared" si="26"/>
        <v>17491</v>
      </c>
      <c r="O100" t="str">
        <f t="shared" si="27"/>
        <v>Low</v>
      </c>
    </row>
    <row r="101" spans="1:15">
      <c r="A101" s="8" t="s">
        <v>109</v>
      </c>
      <c r="B101" t="str">
        <f>_xlfn.XLOOKUP(Table3[[#This Row],[Emp_ID]],Table1[Emp_ID],Table1[Full_Name ])</f>
        <v>Lalit</v>
      </c>
      <c r="C101" t="str">
        <f>_xlfn.XLOOKUP(Table3[[#This Row],[Emp_ID]],Table1[Emp_ID],Table1[Department])</f>
        <v>IT</v>
      </c>
      <c r="D101" t="str">
        <f>_xlfn.XLOOKUP(Table3[[#This Row],[Emp_ID]],Table1[Emp_ID],Table1[Designation])</f>
        <v>Senior Executive</v>
      </c>
      <c r="E101" s="14">
        <f>_xlfn.XLOOKUP(Table3[[#This Row],[Emp_ID]],Table1[Emp_ID],Table1[Basic_Salary])</f>
        <v>40000</v>
      </c>
      <c r="F101" s="14">
        <f>E101*_xlfn.XLOOKUP(Table3[[#This Row],[Emp_ID]],Table1[Emp_ID],Table1[HRA_%])</f>
        <v>14000</v>
      </c>
      <c r="G101" s="14">
        <f>E101*_xlfn.XLOOKUP(Table3[[#This Row],[Emp_ID]],Table1[Emp_ID],Table1[DA_%])</f>
        <v>4800</v>
      </c>
      <c r="H101" s="14">
        <f t="shared" si="21"/>
        <v>58800</v>
      </c>
      <c r="I101" s="14">
        <f t="shared" si="22"/>
        <v>4800</v>
      </c>
      <c r="J101" s="14">
        <f t="shared" si="23"/>
        <v>0</v>
      </c>
      <c r="K101" s="14">
        <f t="shared" si="24"/>
        <v>200</v>
      </c>
      <c r="L101" s="14">
        <f>ROUND((E101/26)*_xlfn.XLOOKUP(Table3[[#This Row],[Emp_ID]],Table2[Emp_ID],Table2[Total Absent]),0)</f>
        <v>3077</v>
      </c>
      <c r="M101" s="14">
        <f t="shared" si="25"/>
        <v>8077</v>
      </c>
      <c r="N101" s="14">
        <f t="shared" si="26"/>
        <v>50723</v>
      </c>
      <c r="O101" t="str">
        <f t="shared" si="27"/>
        <v>High</v>
      </c>
    </row>
    <row r="102" spans="1:15">
      <c r="A102" s="7" t="s">
        <v>110</v>
      </c>
      <c r="B102" t="str">
        <f>_xlfn.XLOOKUP(Table3[[#This Row],[Emp_ID]],Table1[Emp_ID],Table1[Full_Name ])</f>
        <v>Manoj</v>
      </c>
      <c r="C102" t="str">
        <f>_xlfn.XLOOKUP(Table3[[#This Row],[Emp_ID]],Table1[Emp_ID],Table1[Department])</f>
        <v>IT</v>
      </c>
      <c r="D102" t="str">
        <f>_xlfn.XLOOKUP(Table3[[#This Row],[Emp_ID]],Table1[Emp_ID],Table1[Designation])</f>
        <v>Associate / Operator</v>
      </c>
      <c r="E102" s="14">
        <f>_xlfn.XLOOKUP(Table3[[#This Row],[Emp_ID]],Table1[Emp_ID],Table1[Basic_Salary])</f>
        <v>17000</v>
      </c>
      <c r="F102" s="14">
        <f>E102*_xlfn.XLOOKUP(Table3[[#This Row],[Emp_ID]],Table1[Emp_ID],Table1[HRA_%])</f>
        <v>3400</v>
      </c>
      <c r="G102" s="14">
        <f>E102*_xlfn.XLOOKUP(Table3[[#This Row],[Emp_ID]],Table1[Emp_ID],Table1[DA_%])</f>
        <v>1360</v>
      </c>
      <c r="H102" s="14">
        <f t="shared" si="21"/>
        <v>21760</v>
      </c>
      <c r="I102" s="14">
        <f t="shared" si="22"/>
        <v>2040</v>
      </c>
      <c r="J102" s="14">
        <f t="shared" si="23"/>
        <v>0</v>
      </c>
      <c r="K102" s="14">
        <f t="shared" si="24"/>
        <v>300</v>
      </c>
      <c r="L102" s="14">
        <f>ROUND((E102/26)*_xlfn.XLOOKUP(Table3[[#This Row],[Emp_ID]],Table2[Emp_ID],Table2[Total Absent]),0)</f>
        <v>0</v>
      </c>
      <c r="M102" s="14">
        <f t="shared" si="25"/>
        <v>2340</v>
      </c>
      <c r="N102" s="14">
        <f t="shared" si="26"/>
        <v>19420</v>
      </c>
      <c r="O102" t="str">
        <f t="shared" si="27"/>
        <v>Low</v>
      </c>
    </row>
    <row r="103" spans="1:15">
      <c r="A103" s="8" t="s">
        <v>111</v>
      </c>
      <c r="B103" t="str">
        <f>_xlfn.XLOOKUP(Table3[[#This Row],[Emp_ID]],Table1[Emp_ID],Table1[Full_Name ])</f>
        <v>Ashok</v>
      </c>
      <c r="C103" t="str">
        <f>_xlfn.XLOOKUP(Table3[[#This Row],[Emp_ID]],Table1[Emp_ID],Table1[Department])</f>
        <v>IT</v>
      </c>
      <c r="D103" t="str">
        <f>_xlfn.XLOOKUP(Table3[[#This Row],[Emp_ID]],Table1[Emp_ID],Table1[Designation])</f>
        <v>Associate / Operator</v>
      </c>
      <c r="E103" s="14">
        <f>_xlfn.XLOOKUP(Table3[[#This Row],[Emp_ID]],Table1[Emp_ID],Table1[Basic_Salary])</f>
        <v>15000</v>
      </c>
      <c r="F103" s="14">
        <f>E103*_xlfn.XLOOKUP(Table3[[#This Row],[Emp_ID]],Table1[Emp_ID],Table1[HRA_%])</f>
        <v>3000</v>
      </c>
      <c r="G103" s="14">
        <f>E103*_xlfn.XLOOKUP(Table3[[#This Row],[Emp_ID]],Table1[Emp_ID],Table1[DA_%])</f>
        <v>1200</v>
      </c>
      <c r="H103" s="14">
        <f t="shared" si="21"/>
        <v>19200</v>
      </c>
      <c r="I103" s="14">
        <f t="shared" si="22"/>
        <v>0</v>
      </c>
      <c r="J103" s="14">
        <f t="shared" si="23"/>
        <v>144</v>
      </c>
      <c r="K103" s="14">
        <f t="shared" si="24"/>
        <v>300</v>
      </c>
      <c r="L103" s="14">
        <f>ROUND((E103/26)*_xlfn.XLOOKUP(Table3[[#This Row],[Emp_ID]],Table2[Emp_ID],Table2[Total Absent]),0)</f>
        <v>0</v>
      </c>
      <c r="M103" s="14">
        <f t="shared" si="25"/>
        <v>444</v>
      </c>
      <c r="N103" s="14">
        <f t="shared" si="26"/>
        <v>18756</v>
      </c>
      <c r="O103" t="str">
        <f t="shared" si="27"/>
        <v>Low</v>
      </c>
    </row>
    <row r="104" spans="1:15">
      <c r="A104" s="7" t="s">
        <v>112</v>
      </c>
      <c r="B104" t="str">
        <f>_xlfn.XLOOKUP(Table3[[#This Row],[Emp_ID]],Table1[Emp_ID],Table1[Full_Name ])</f>
        <v>Inder</v>
      </c>
      <c r="C104" t="str">
        <f>_xlfn.XLOOKUP(Table3[[#This Row],[Emp_ID]],Table1[Emp_ID],Table1[Department])</f>
        <v>IT</v>
      </c>
      <c r="D104" t="str">
        <f>_xlfn.XLOOKUP(Table3[[#This Row],[Emp_ID]],Table1[Emp_ID],Table1[Designation])</f>
        <v>Executive</v>
      </c>
      <c r="E104" s="14">
        <f>_xlfn.XLOOKUP(Table3[[#This Row],[Emp_ID]],Table1[Emp_ID],Table1[Basic_Salary])</f>
        <v>25000</v>
      </c>
      <c r="F104" s="14">
        <f>E104*_xlfn.XLOOKUP(Table3[[#This Row],[Emp_ID]],Table1[Emp_ID],Table1[HRA_%])</f>
        <v>7500</v>
      </c>
      <c r="G104" s="14">
        <f>E104*_xlfn.XLOOKUP(Table3[[#This Row],[Emp_ID]],Table1[Emp_ID],Table1[DA_%])</f>
        <v>2500</v>
      </c>
      <c r="H104" s="14">
        <f t="shared" si="21"/>
        <v>35000</v>
      </c>
      <c r="I104" s="14">
        <f t="shared" si="22"/>
        <v>3000</v>
      </c>
      <c r="J104" s="14">
        <f t="shared" si="23"/>
        <v>0</v>
      </c>
      <c r="K104" s="14">
        <f t="shared" si="24"/>
        <v>200</v>
      </c>
      <c r="L104" s="14">
        <f>ROUND((E104/26)*_xlfn.XLOOKUP(Table3[[#This Row],[Emp_ID]],Table2[Emp_ID],Table2[Total Absent]),0)</f>
        <v>962</v>
      </c>
      <c r="M104" s="14">
        <f t="shared" si="25"/>
        <v>4162</v>
      </c>
      <c r="N104" s="14">
        <f t="shared" si="26"/>
        <v>30838</v>
      </c>
      <c r="O104" t="str">
        <f t="shared" si="27"/>
        <v>High</v>
      </c>
    </row>
    <row r="105" spans="1:15">
      <c r="A105" s="8" t="s">
        <v>113</v>
      </c>
      <c r="B105" t="str">
        <f>_xlfn.XLOOKUP(Table3[[#This Row],[Emp_ID]],Table1[Emp_ID],Table1[Full_Name ])</f>
        <v>Prem</v>
      </c>
      <c r="C105" t="str">
        <f>_xlfn.XLOOKUP(Table3[[#This Row],[Emp_ID]],Table1[Emp_ID],Table1[Department])</f>
        <v>IT</v>
      </c>
      <c r="D105" t="str">
        <f>_xlfn.XLOOKUP(Table3[[#This Row],[Emp_ID]],Table1[Emp_ID],Table1[Designation])</f>
        <v>Manager</v>
      </c>
      <c r="E105" s="14">
        <f>_xlfn.XLOOKUP(Table3[[#This Row],[Emp_ID]],Table1[Emp_ID],Table1[Basic_Salary])</f>
        <v>56000</v>
      </c>
      <c r="F105" s="14">
        <f>E105*_xlfn.XLOOKUP(Table3[[#This Row],[Emp_ID]],Table1[Emp_ID],Table1[HRA_%])</f>
        <v>22400</v>
      </c>
      <c r="G105" s="14">
        <f>E105*_xlfn.XLOOKUP(Table3[[#This Row],[Emp_ID]],Table1[Emp_ID],Table1[DA_%])</f>
        <v>8400</v>
      </c>
      <c r="H105" s="14">
        <f t="shared" si="21"/>
        <v>86800</v>
      </c>
      <c r="I105" s="14">
        <f t="shared" si="22"/>
        <v>6720</v>
      </c>
      <c r="J105" s="14">
        <f t="shared" si="23"/>
        <v>0</v>
      </c>
      <c r="K105" s="14">
        <f t="shared" si="24"/>
        <v>200</v>
      </c>
      <c r="L105" s="14">
        <f>ROUND((E105/26)*_xlfn.XLOOKUP(Table3[[#This Row],[Emp_ID]],Table2[Emp_ID],Table2[Total Absent]),0)</f>
        <v>0</v>
      </c>
      <c r="M105" s="14">
        <f t="shared" si="25"/>
        <v>6920</v>
      </c>
      <c r="N105" s="14">
        <f t="shared" si="26"/>
        <v>79880</v>
      </c>
      <c r="O105" t="str">
        <f t="shared" si="27"/>
        <v>High</v>
      </c>
    </row>
    <row r="106" spans="1:15">
      <c r="A106" s="7" t="s">
        <v>114</v>
      </c>
      <c r="B106" t="str">
        <f>_xlfn.XLOOKUP(Table3[[#This Row],[Emp_ID]],Table1[Emp_ID],Table1[Full_Name ])</f>
        <v>Kamal</v>
      </c>
      <c r="C106" t="str">
        <f>_xlfn.XLOOKUP(Table3[[#This Row],[Emp_ID]],Table1[Emp_ID],Table1[Department])</f>
        <v>IT</v>
      </c>
      <c r="D106" t="str">
        <f>_xlfn.XLOOKUP(Table3[[#This Row],[Emp_ID]],Table1[Emp_ID],Table1[Designation])</f>
        <v>Senior Executive</v>
      </c>
      <c r="E106" s="14">
        <f>_xlfn.XLOOKUP(Table3[[#This Row],[Emp_ID]],Table1[Emp_ID],Table1[Basic_Salary])</f>
        <v>42000</v>
      </c>
      <c r="F106" s="14">
        <f>E106*_xlfn.XLOOKUP(Table3[[#This Row],[Emp_ID]],Table1[Emp_ID],Table1[HRA_%])</f>
        <v>14699.999999999998</v>
      </c>
      <c r="G106" s="14">
        <f>E106*_xlfn.XLOOKUP(Table3[[#This Row],[Emp_ID]],Table1[Emp_ID],Table1[DA_%])</f>
        <v>5040</v>
      </c>
      <c r="H106" s="14">
        <f t="shared" si="21"/>
        <v>61740</v>
      </c>
      <c r="I106" s="14">
        <f t="shared" si="22"/>
        <v>5040</v>
      </c>
      <c r="J106" s="14">
        <f t="shared" si="23"/>
        <v>0</v>
      </c>
      <c r="K106" s="14">
        <f t="shared" si="24"/>
        <v>200</v>
      </c>
      <c r="L106" s="14">
        <f>ROUND((E106/26)*_xlfn.XLOOKUP(Table3[[#This Row],[Emp_ID]],Table2[Emp_ID],Table2[Total Absent]),0)</f>
        <v>0</v>
      </c>
      <c r="M106" s="14">
        <f t="shared" si="25"/>
        <v>5240</v>
      </c>
      <c r="N106" s="14">
        <f t="shared" si="26"/>
        <v>56500</v>
      </c>
      <c r="O106" t="str">
        <f t="shared" si="27"/>
        <v>High</v>
      </c>
    </row>
    <row r="107" spans="1:15">
      <c r="A107" s="8" t="s">
        <v>115</v>
      </c>
      <c r="B107" t="str">
        <f>_xlfn.XLOOKUP(Table3[[#This Row],[Emp_ID]],Table1[Emp_ID],Table1[Full_Name ])</f>
        <v>Jagdish</v>
      </c>
      <c r="C107" t="str">
        <f>_xlfn.XLOOKUP(Table3[[#This Row],[Emp_ID]],Table1[Emp_ID],Table1[Department])</f>
        <v>IT</v>
      </c>
      <c r="D107" t="str">
        <f>_xlfn.XLOOKUP(Table3[[#This Row],[Emp_ID]],Table1[Emp_ID],Table1[Designation])</f>
        <v>Executive</v>
      </c>
      <c r="E107" s="14">
        <f>_xlfn.XLOOKUP(Table3[[#This Row],[Emp_ID]],Table1[Emp_ID],Table1[Basic_Salary])</f>
        <v>26000</v>
      </c>
      <c r="F107" s="14">
        <f>E107*_xlfn.XLOOKUP(Table3[[#This Row],[Emp_ID]],Table1[Emp_ID],Table1[HRA_%])</f>
        <v>7800</v>
      </c>
      <c r="G107" s="14">
        <f>E107*_xlfn.XLOOKUP(Table3[[#This Row],[Emp_ID]],Table1[Emp_ID],Table1[DA_%])</f>
        <v>2600</v>
      </c>
      <c r="H107" s="14">
        <f t="shared" si="21"/>
        <v>36400</v>
      </c>
      <c r="I107" s="14">
        <f t="shared" si="22"/>
        <v>3120</v>
      </c>
      <c r="J107" s="14">
        <f t="shared" si="23"/>
        <v>0</v>
      </c>
      <c r="K107" s="14">
        <f t="shared" si="24"/>
        <v>200</v>
      </c>
      <c r="L107" s="14">
        <f>ROUND((E107/26)*_xlfn.XLOOKUP(Table3[[#This Row],[Emp_ID]],Table2[Emp_ID],Table2[Total Absent]),0)</f>
        <v>0</v>
      </c>
      <c r="M107" s="14">
        <f t="shared" si="25"/>
        <v>3320</v>
      </c>
      <c r="N107" s="14">
        <f t="shared" si="26"/>
        <v>33080</v>
      </c>
      <c r="O107" t="str">
        <f t="shared" si="27"/>
        <v>High</v>
      </c>
    </row>
    <row r="110" spans="1:15">
      <c r="A110" s="16" t="s">
        <v>507</v>
      </c>
      <c r="B110" s="15">
        <f>SUM(N2:N107)</f>
        <v>3027802</v>
      </c>
    </row>
    <row r="111" spans="1:15">
      <c r="A111" s="17" t="s">
        <v>508</v>
      </c>
      <c r="B111" s="15">
        <f>AVERAGE(N2:N107)</f>
        <v>28564.169811320753</v>
      </c>
    </row>
    <row r="112" spans="1:15">
      <c r="A112" s="17" t="s">
        <v>509</v>
      </c>
      <c r="B112" s="15">
        <f>MAX(N2:N107)</f>
        <v>85600</v>
      </c>
    </row>
    <row r="113" spans="1:7">
      <c r="A113" s="16" t="s">
        <v>510</v>
      </c>
      <c r="B113" s="15">
        <f>MIN(N2:N107)</f>
        <v>14483</v>
      </c>
    </row>
    <row r="114" spans="1:7">
      <c r="A114" s="17" t="s">
        <v>511</v>
      </c>
      <c r="B114" s="15">
        <f>SUM(I2:I107)</f>
        <v>227820</v>
      </c>
    </row>
    <row r="115" spans="1:7">
      <c r="A115" s="17" t="s">
        <v>512</v>
      </c>
      <c r="B115" s="15">
        <f>SUM(J2:J107)</f>
        <v>6303</v>
      </c>
    </row>
    <row r="116" spans="1:7">
      <c r="A116" s="17" t="s">
        <v>513</v>
      </c>
      <c r="B116" s="18">
        <f>SUM(L2:L107)</f>
        <v>64975</v>
      </c>
      <c r="G116" s="10">
        <f>AVERAGEIF(Attendance!C$2:C$107,"Operations",Attendance!AP$2:AP$107)</f>
        <v>97.086247086247099</v>
      </c>
    </row>
    <row r="117" spans="1:7">
      <c r="A117" s="17" t="s">
        <v>1</v>
      </c>
      <c r="B117" s="17" t="s">
        <v>514</v>
      </c>
      <c r="C117" s="17" t="s">
        <v>508</v>
      </c>
      <c r="D117" s="17" t="s">
        <v>515</v>
      </c>
    </row>
    <row r="118" spans="1:7">
      <c r="A118" s="21" t="s">
        <v>222</v>
      </c>
      <c r="B118" s="19">
        <f>SUMIF(C$2:C$107,A118,N$2:N$107)</f>
        <v>806749</v>
      </c>
      <c r="C118" s="20">
        <f>AVERAGEIF(C$2:C$107,$A118,N$2:N$107)</f>
        <v>24446.939393939392</v>
      </c>
      <c r="D118" s="19">
        <f>COUNTIF(C$2:C$107,$A118)</f>
        <v>33</v>
      </c>
    </row>
    <row r="119" spans="1:7">
      <c r="A119" s="21" t="s">
        <v>223</v>
      </c>
      <c r="B119" s="19">
        <f t="shared" ref="B119:B124" si="28">SUMIF(C$2:C$107,A119,N$2:N$107)</f>
        <v>546004</v>
      </c>
      <c r="C119" s="20">
        <f t="shared" ref="C119:C124" si="29">AVERAGEIF(C$2:C$107,$A119,N$2:N$107)</f>
        <v>26000.190476190477</v>
      </c>
      <c r="D119" s="19">
        <f t="shared" ref="D119:D124" si="30">COUNTIF(C$2:C$107,$A119)</f>
        <v>21</v>
      </c>
    </row>
    <row r="120" spans="1:7">
      <c r="A120" s="21" t="s">
        <v>224</v>
      </c>
      <c r="B120" s="19">
        <f t="shared" si="28"/>
        <v>481241</v>
      </c>
      <c r="C120" s="20">
        <f t="shared" si="29"/>
        <v>30077.5625</v>
      </c>
      <c r="D120" s="19">
        <f t="shared" si="30"/>
        <v>16</v>
      </c>
    </row>
    <row r="121" spans="1:7">
      <c r="A121" s="21" t="s">
        <v>225</v>
      </c>
      <c r="B121" s="19">
        <f t="shared" si="28"/>
        <v>452887</v>
      </c>
      <c r="C121" s="20">
        <f t="shared" si="29"/>
        <v>28305.4375</v>
      </c>
      <c r="D121" s="19">
        <f t="shared" si="30"/>
        <v>16</v>
      </c>
    </row>
    <row r="122" spans="1:7">
      <c r="A122" s="21" t="s">
        <v>226</v>
      </c>
      <c r="B122" s="19">
        <f t="shared" si="28"/>
        <v>203124</v>
      </c>
      <c r="C122" s="20">
        <f t="shared" si="29"/>
        <v>33854</v>
      </c>
      <c r="D122" s="19">
        <f t="shared" si="30"/>
        <v>6</v>
      </c>
    </row>
    <row r="123" spans="1:7">
      <c r="A123" s="21" t="s">
        <v>227</v>
      </c>
      <c r="B123" s="19">
        <f t="shared" si="28"/>
        <v>306688</v>
      </c>
      <c r="C123" s="20">
        <f t="shared" si="29"/>
        <v>38336</v>
      </c>
      <c r="D123" s="19">
        <f t="shared" si="30"/>
        <v>8</v>
      </c>
    </row>
    <row r="124" spans="1:7">
      <c r="A124" s="21" t="s">
        <v>229</v>
      </c>
      <c r="B124" s="29">
        <f>SUMIF(C$2:C$107,A124,N$2:N$107)</f>
        <v>231109</v>
      </c>
      <c r="C124" s="30">
        <f t="shared" si="29"/>
        <v>38518.166666666664</v>
      </c>
      <c r="D124" s="29">
        <f t="shared" si="30"/>
        <v>6</v>
      </c>
    </row>
  </sheetData>
  <conditionalFormatting sqref="O2:O107">
    <cfRule type="expression" dxfId="3" priority="1">
      <formula>O2="Review"</formula>
    </cfRule>
    <cfRule type="expression" dxfId="2" priority="2">
      <formula>O2="Mid"</formula>
    </cfRule>
    <cfRule type="expression" dxfId="1" priority="3">
      <formula>O2="Low"</formula>
    </cfRule>
    <cfRule type="expression" dxfId="0" priority="4">
      <formula>O2="High"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93E8-2B9B-4F17-AC2D-32E5DA73DE8F}">
  <dimension ref="A1:AP51"/>
  <sheetViews>
    <sheetView showGridLines="0" zoomScale="130" zoomScaleNormal="130" workbookViewId="0">
      <selection activeCell="AP19" sqref="AP19"/>
    </sheetView>
  </sheetViews>
  <sheetFormatPr defaultColWidth="2.7109375" defaultRowHeight="15"/>
  <cols>
    <col min="1" max="40" width="2.7109375" style="22"/>
    <col min="41" max="41" width="11.7109375" style="22" bestFit="1" customWidth="1"/>
    <col min="42" max="42" width="10.5703125" style="22" bestFit="1" customWidth="1"/>
    <col min="43" max="43" width="11.5703125" style="22" bestFit="1" customWidth="1"/>
    <col min="44" max="44" width="9.5703125" style="22" bestFit="1" customWidth="1"/>
    <col min="45" max="45" width="16.7109375" style="22" bestFit="1" customWidth="1"/>
    <col min="46" max="46" width="14.42578125" style="22" bestFit="1" customWidth="1"/>
    <col min="47" max="57" width="2.7109375" style="22"/>
    <col min="58" max="58" width="7.7109375" style="22" bestFit="1" customWidth="1"/>
    <col min="59" max="16384" width="2.7109375" style="22"/>
  </cols>
  <sheetData>
    <row r="1" spans="1:36" ht="37.5">
      <c r="A1" s="26" t="s">
        <v>516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3" spans="1:36">
      <c r="A3" s="28" t="s">
        <v>517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</row>
    <row r="4" spans="1:36" ht="15.75" thickBot="1">
      <c r="A4" s="24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15" customHeight="1">
      <c r="B5" s="40">
        <f>PAYROLL!B110</f>
        <v>3027802</v>
      </c>
      <c r="C5" s="41"/>
      <c r="D5" s="41"/>
      <c r="E5" s="41"/>
      <c r="F5" s="41"/>
      <c r="G5" s="41"/>
      <c r="H5" s="42"/>
      <c r="K5" s="46">
        <f>PAYROLL!B111</f>
        <v>28564.169811320753</v>
      </c>
      <c r="L5" s="47"/>
      <c r="M5" s="47"/>
      <c r="N5" s="47"/>
      <c r="O5" s="47"/>
      <c r="P5" s="47"/>
      <c r="Q5" s="48"/>
      <c r="T5" s="52">
        <f>AVERAGE(Attendance!AP2:AP107)</f>
        <v>96.335268505079696</v>
      </c>
      <c r="U5" s="53"/>
      <c r="V5" s="53"/>
      <c r="W5" s="53"/>
      <c r="X5" s="53"/>
      <c r="Y5" s="53"/>
      <c r="Z5" s="54"/>
      <c r="AC5" s="40">
        <f>SUM(Attendance!AJ2:AJ107)</f>
        <v>79</v>
      </c>
      <c r="AD5" s="41"/>
      <c r="AE5" s="41"/>
      <c r="AF5" s="41"/>
      <c r="AG5" s="41"/>
      <c r="AH5" s="41"/>
      <c r="AI5" s="42"/>
    </row>
    <row r="6" spans="1:36">
      <c r="B6" s="43"/>
      <c r="C6" s="44"/>
      <c r="D6" s="44"/>
      <c r="E6" s="44"/>
      <c r="F6" s="44"/>
      <c r="G6" s="44"/>
      <c r="H6" s="45"/>
      <c r="K6" s="49"/>
      <c r="L6" s="50"/>
      <c r="M6" s="50"/>
      <c r="N6" s="50"/>
      <c r="O6" s="50"/>
      <c r="P6" s="50"/>
      <c r="Q6" s="51"/>
      <c r="T6" s="55"/>
      <c r="U6" s="56"/>
      <c r="V6" s="56"/>
      <c r="W6" s="56"/>
      <c r="X6" s="56"/>
      <c r="Y6" s="56"/>
      <c r="Z6" s="57"/>
      <c r="AC6" s="43"/>
      <c r="AD6" s="44"/>
      <c r="AE6" s="44"/>
      <c r="AF6" s="44"/>
      <c r="AG6" s="44"/>
      <c r="AH6" s="44"/>
      <c r="AI6" s="45"/>
    </row>
    <row r="7" spans="1:36">
      <c r="B7" s="43"/>
      <c r="C7" s="44"/>
      <c r="D7" s="44"/>
      <c r="E7" s="44"/>
      <c r="F7" s="44"/>
      <c r="G7" s="44"/>
      <c r="H7" s="45"/>
      <c r="K7" s="49"/>
      <c r="L7" s="50"/>
      <c r="M7" s="50"/>
      <c r="N7" s="50"/>
      <c r="O7" s="50"/>
      <c r="P7" s="50"/>
      <c r="Q7" s="51"/>
      <c r="T7" s="55"/>
      <c r="U7" s="56"/>
      <c r="V7" s="56"/>
      <c r="W7" s="56"/>
      <c r="X7" s="56"/>
      <c r="Y7" s="56"/>
      <c r="Z7" s="57"/>
      <c r="AC7" s="43"/>
      <c r="AD7" s="44"/>
      <c r="AE7" s="44"/>
      <c r="AF7" s="44"/>
      <c r="AG7" s="44"/>
      <c r="AH7" s="44"/>
      <c r="AI7" s="45"/>
    </row>
    <row r="8" spans="1:36">
      <c r="B8" s="43"/>
      <c r="C8" s="44"/>
      <c r="D8" s="44"/>
      <c r="E8" s="44"/>
      <c r="F8" s="44"/>
      <c r="G8" s="44"/>
      <c r="H8" s="45"/>
      <c r="K8" s="49"/>
      <c r="L8" s="50"/>
      <c r="M8" s="50"/>
      <c r="N8" s="50"/>
      <c r="O8" s="50"/>
      <c r="P8" s="50"/>
      <c r="Q8" s="51"/>
      <c r="T8" s="55"/>
      <c r="U8" s="56"/>
      <c r="V8" s="56"/>
      <c r="W8" s="56"/>
      <c r="X8" s="56"/>
      <c r="Y8" s="56"/>
      <c r="Z8" s="57"/>
      <c r="AC8" s="43"/>
      <c r="AD8" s="44"/>
      <c r="AE8" s="44"/>
      <c r="AF8" s="44"/>
      <c r="AG8" s="44"/>
      <c r="AH8" s="44"/>
      <c r="AI8" s="45"/>
    </row>
    <row r="9" spans="1:36" ht="15.75" thickBot="1">
      <c r="B9" s="35" t="s">
        <v>507</v>
      </c>
      <c r="C9" s="36"/>
      <c r="D9" s="36"/>
      <c r="E9" s="36"/>
      <c r="F9" s="36"/>
      <c r="G9" s="36"/>
      <c r="H9" s="37"/>
      <c r="K9" s="32" t="s">
        <v>508</v>
      </c>
      <c r="L9" s="33"/>
      <c r="M9" s="33"/>
      <c r="N9" s="33"/>
      <c r="O9" s="33"/>
      <c r="P9" s="33"/>
      <c r="Q9" s="34"/>
      <c r="T9" s="38" t="s">
        <v>494</v>
      </c>
      <c r="U9" s="33"/>
      <c r="V9" s="33"/>
      <c r="W9" s="33"/>
      <c r="X9" s="33"/>
      <c r="Y9" s="33"/>
      <c r="Z9" s="34"/>
      <c r="AC9" s="39" t="s">
        <v>495</v>
      </c>
      <c r="AD9" s="33"/>
      <c r="AE9" s="33"/>
      <c r="AF9" s="33"/>
      <c r="AG9" s="33"/>
      <c r="AH9" s="33"/>
      <c r="AI9" s="34"/>
    </row>
    <row r="10" spans="1:36">
      <c r="B10" s="25"/>
      <c r="C10" s="25"/>
      <c r="D10" s="25"/>
      <c r="E10" s="25"/>
      <c r="F10" s="25"/>
      <c r="G10" s="25"/>
      <c r="H10" s="25"/>
    </row>
    <row r="37" spans="18:42">
      <c r="R37" s="31" t="s">
        <v>524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</row>
    <row r="38" spans="18:42"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</row>
    <row r="42" spans="18:42">
      <c r="AO42" s="22" t="s">
        <v>9</v>
      </c>
      <c r="AP42" s="22" t="s">
        <v>518</v>
      </c>
    </row>
    <row r="43" spans="18:42">
      <c r="AO43" s="22" t="s">
        <v>519</v>
      </c>
      <c r="AP43" s="22">
        <f>COUNTIF(PAYROLL!O2:O107,"High")</f>
        <v>35</v>
      </c>
    </row>
    <row r="44" spans="18:42">
      <c r="AO44" s="22" t="s">
        <v>520</v>
      </c>
      <c r="AP44" s="22">
        <f>COUNTIF(PAYROLL!O2:O107,"Mid")</f>
        <v>15</v>
      </c>
    </row>
    <row r="45" spans="18:42">
      <c r="AO45" s="22" t="s">
        <v>521</v>
      </c>
      <c r="AP45" s="22">
        <f>COUNTIF(PAYROLL!O2:O107,"Low")</f>
        <v>56</v>
      </c>
    </row>
    <row r="46" spans="18:42">
      <c r="AO46" s="22" t="s">
        <v>522</v>
      </c>
      <c r="AP46" s="22">
        <f>COUNTIF(PAYROLL!O2:O107,"Review")</f>
        <v>0</v>
      </c>
    </row>
    <row r="48" spans="18:42">
      <c r="AO48" s="22" t="s">
        <v>523</v>
      </c>
      <c r="AP48" s="22" t="s">
        <v>518</v>
      </c>
    </row>
    <row r="49" spans="41:42">
      <c r="AO49" s="22" t="s">
        <v>444</v>
      </c>
      <c r="AP49" s="22">
        <f>COUNTIF(Table1[Employment_Type],"Full-Time")</f>
        <v>85</v>
      </c>
    </row>
    <row r="50" spans="41:42">
      <c r="AO50" s="22" t="s">
        <v>445</v>
      </c>
      <c r="AP50" s="22">
        <f>COUNTIF(Table1[Employment_Type],"Contract")</f>
        <v>16</v>
      </c>
    </row>
    <row r="51" spans="41:42">
      <c r="AO51" s="22" t="s">
        <v>443</v>
      </c>
      <c r="AP51" s="22">
        <f>COUNTIF(Table1[Employment_Type],"Part-Time")</f>
        <v>5</v>
      </c>
    </row>
  </sheetData>
  <mergeCells count="11">
    <mergeCell ref="K9:Q9"/>
    <mergeCell ref="T9:Z9"/>
    <mergeCell ref="AC9:AI9"/>
    <mergeCell ref="A1:AJ1"/>
    <mergeCell ref="A3:AJ3"/>
    <mergeCell ref="R37:AI38"/>
    <mergeCell ref="B9:H9"/>
    <mergeCell ref="B5:H8"/>
    <mergeCell ref="K5:Q8"/>
    <mergeCell ref="T5:Z8"/>
    <mergeCell ref="AC5:AI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407E-D732-446A-91A9-065DE9B106BA}">
  <dimension ref="A2:H27"/>
  <sheetViews>
    <sheetView showGridLines="0" zoomScaleNormal="100" workbookViewId="0">
      <selection activeCell="J16" sqref="J16"/>
    </sheetView>
  </sheetViews>
  <sheetFormatPr defaultRowHeight="15"/>
  <cols>
    <col min="1" max="1" width="9.85546875" customWidth="1"/>
    <col min="3" max="3" width="10.42578125" bestFit="1" customWidth="1"/>
  </cols>
  <sheetData>
    <row r="2" spans="1:8">
      <c r="A2" s="58" t="s">
        <v>525</v>
      </c>
      <c r="B2" t="s">
        <v>24</v>
      </c>
    </row>
    <row r="4" spans="1:8" ht="26.25">
      <c r="A4" s="60" t="s">
        <v>526</v>
      </c>
      <c r="B4" s="59"/>
      <c r="C4" s="59"/>
      <c r="D4" s="59"/>
      <c r="E4" s="59"/>
      <c r="F4" s="59"/>
      <c r="G4" s="59"/>
      <c r="H4" s="59"/>
    </row>
    <row r="5" spans="1:8">
      <c r="A5" s="61" t="s">
        <v>527</v>
      </c>
      <c r="B5" s="61"/>
      <c r="C5" s="61"/>
      <c r="D5" s="61"/>
      <c r="E5" s="61"/>
      <c r="F5" s="61"/>
      <c r="G5" s="61"/>
      <c r="H5" s="61"/>
    </row>
    <row r="7" spans="1:8" ht="18.75">
      <c r="A7" s="63" t="s">
        <v>528</v>
      </c>
      <c r="B7" s="62"/>
      <c r="C7" s="62"/>
      <c r="D7" s="62"/>
      <c r="E7" s="62"/>
      <c r="F7" s="62"/>
      <c r="G7" s="62"/>
      <c r="H7" s="62"/>
    </row>
    <row r="9" spans="1:8">
      <c r="A9" t="s">
        <v>529</v>
      </c>
      <c r="C9" t="str">
        <f>B2</f>
        <v>EMP015</v>
      </c>
      <c r="E9" t="s">
        <v>534</v>
      </c>
      <c r="G9" s="64">
        <v>45658</v>
      </c>
    </row>
    <row r="10" spans="1:8">
      <c r="A10" t="s">
        <v>530</v>
      </c>
      <c r="C10" t="str">
        <f>_xlfn.XLOOKUP(B2,Table1[Emp_ID],Table1[Full_Name ])</f>
        <v>Dhruv</v>
      </c>
      <c r="E10" t="s">
        <v>535</v>
      </c>
      <c r="G10">
        <f>_xlfn.XLOOKUP(B2,Table2[Emp_ID],Table2[Total Present])</f>
        <v>23</v>
      </c>
    </row>
    <row r="11" spans="1:8">
      <c r="A11" t="s">
        <v>1</v>
      </c>
      <c r="C11" t="str">
        <f>_xlfn.XLOOKUP(B2,Table1[Emp_ID],Table1[Department])</f>
        <v>Operations</v>
      </c>
      <c r="E11" t="s">
        <v>536</v>
      </c>
      <c r="G11">
        <f>_xlfn.XLOOKUP(B2,Table2[Emp_ID],Table2[Total Absent])</f>
        <v>1</v>
      </c>
    </row>
    <row r="12" spans="1:8">
      <c r="A12" t="s">
        <v>228</v>
      </c>
      <c r="C12" t="str">
        <f>_xlfn.XLOOKUP(B2,Table1[Emp_ID],Table1[Designation])</f>
        <v>Executive</v>
      </c>
      <c r="E12" t="s">
        <v>537</v>
      </c>
      <c r="G12">
        <f>_xlfn.XLOOKUP(B2,Table2[Emp_ID],Table2[Casual Leave (CL)])</f>
        <v>0</v>
      </c>
    </row>
    <row r="13" spans="1:8">
      <c r="A13" t="s">
        <v>531</v>
      </c>
      <c r="C13" s="1">
        <f>_xlfn.XLOOKUP(B2,Table1[Emp_ID],Table1[Date_of_Joining])</f>
        <v>44997</v>
      </c>
      <c r="E13" t="s">
        <v>538</v>
      </c>
      <c r="G13">
        <f>_xlfn.XLOOKUP(B2,Table2[Emp_ID],Table2[Sick Leave (SL)])</f>
        <v>2</v>
      </c>
    </row>
    <row r="14" spans="1:8">
      <c r="A14" t="s">
        <v>532</v>
      </c>
      <c r="C14" t="str">
        <f>_xlfn.XLOOKUP(B2,Table1[Emp_ID],Table1[Employment_Type])</f>
        <v>Full-Time</v>
      </c>
      <c r="E14" t="s">
        <v>452</v>
      </c>
      <c r="G14">
        <f>_xlfn.XLOOKUP(B2,Table2[Emp_ID],Table2[Late Marks])</f>
        <v>0</v>
      </c>
    </row>
    <row r="15" spans="1:8">
      <c r="A15" t="s">
        <v>533</v>
      </c>
      <c r="C15" t="str">
        <f>_xlfn.XLOOKUP(B2,Table1[Emp_ID],Table1[Bank_Account])</f>
        <v>HDFC0006677</v>
      </c>
      <c r="E15" t="s">
        <v>539</v>
      </c>
      <c r="G15" s="65" t="str">
        <f>ROUND(_xlfn.XLOOKUP(B2,Table2[Emp_ID],Table2[Attendance %]),1)&amp;"%"</f>
        <v>96.2%</v>
      </c>
    </row>
    <row r="17" spans="1:8">
      <c r="A17" s="68" t="s">
        <v>540</v>
      </c>
      <c r="B17" s="68"/>
      <c r="C17" s="68"/>
      <c r="D17" s="68"/>
      <c r="E17" s="67" t="s">
        <v>541</v>
      </c>
      <c r="F17" s="67"/>
      <c r="G17" s="67"/>
      <c r="H17" s="67"/>
    </row>
    <row r="18" spans="1:8">
      <c r="A18" t="s">
        <v>542</v>
      </c>
      <c r="D18">
        <f>_xlfn.XLOOKUP(B2,Table3[Emp_ID],Table3[Basic_Salary])</f>
        <v>24000</v>
      </c>
      <c r="E18" t="s">
        <v>544</v>
      </c>
      <c r="H18">
        <f>IF(D18&gt;15000,ROUND(D18*0.12,0),0)</f>
        <v>2880</v>
      </c>
    </row>
    <row r="19" spans="1:8">
      <c r="A19" t="s">
        <v>496</v>
      </c>
      <c r="D19">
        <f>_xlfn.XLOOKUP(B2,Table3[Emp_ID],Table3[HRA])</f>
        <v>7200</v>
      </c>
      <c r="E19" t="s">
        <v>545</v>
      </c>
      <c r="H19">
        <f>IF(D23&lt;21000,ROUND(D23*0.0075,0),0)</f>
        <v>0</v>
      </c>
    </row>
    <row r="20" spans="1:8">
      <c r="A20" t="s">
        <v>497</v>
      </c>
      <c r="D20">
        <f>_xlfn.XLOOKUP(B2,Table3[Emp_ID],Table3[DA])</f>
        <v>2400</v>
      </c>
      <c r="E20" t="s">
        <v>546</v>
      </c>
      <c r="H20">
        <f>IF(D23&lt;=10000,0,IF(D23&lt;=15000,150,IF(D23&lt;=25000,300,200)))</f>
        <v>200</v>
      </c>
    </row>
    <row r="21" spans="1:8">
      <c r="E21" t="s">
        <v>547</v>
      </c>
      <c r="H21">
        <f>ROUND((D18/26)*_xlfn.XLOOKUP(B2,Table2[Emp_ID],Table2[Total Absent]),0)</f>
        <v>923</v>
      </c>
    </row>
    <row r="23" spans="1:8">
      <c r="A23" t="s">
        <v>543</v>
      </c>
      <c r="D23">
        <f>SUM(D18:D20)</f>
        <v>33600</v>
      </c>
      <c r="E23" t="s">
        <v>548</v>
      </c>
      <c r="H23">
        <f>SUM(H18:H21)</f>
        <v>4003</v>
      </c>
    </row>
    <row r="25" spans="1:8">
      <c r="A25" s="69" t="str">
        <f>"NET SALARY PAYABLE: ₹"&amp;TEXT(D23-H23,"##,##,##0")</f>
        <v>NET SALARY PAYABLE: ₹29,597</v>
      </c>
      <c r="B25" s="69"/>
      <c r="C25" s="69"/>
      <c r="D25" s="69"/>
      <c r="E25" s="69"/>
      <c r="F25" s="69"/>
      <c r="G25" s="69"/>
      <c r="H25" s="69"/>
    </row>
    <row r="26" spans="1:8">
      <c r="A26" s="69"/>
      <c r="B26" s="69"/>
      <c r="C26" s="69"/>
      <c r="D26" s="69"/>
      <c r="E26" s="69"/>
      <c r="F26" s="69"/>
      <c r="G26" s="69"/>
      <c r="H26" s="69"/>
    </row>
    <row r="27" spans="1:8">
      <c r="A27" s="69"/>
      <c r="B27" s="69"/>
      <c r="C27" s="69"/>
      <c r="D27" s="69"/>
      <c r="E27" s="69"/>
      <c r="F27" s="69"/>
      <c r="G27" s="69"/>
      <c r="H27" s="69"/>
    </row>
  </sheetData>
  <mergeCells count="6">
    <mergeCell ref="A4:H4"/>
    <mergeCell ref="A5:H5"/>
    <mergeCell ref="A7:H7"/>
    <mergeCell ref="A17:D17"/>
    <mergeCell ref="E17:H17"/>
    <mergeCell ref="A25:H27"/>
  </mergeCells>
  <pageMargins left="0.23622047244094491" right="0.23622047244094491" top="0.74803149606299213" bottom="0.74803149606299213" header="0.31496062992125984" footer="0.31496062992125984"/>
  <pageSetup paperSize="7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321A5C-C775-4D08-AC6D-4A49804C6B6E}">
          <x14:formula1>
            <xm:f>EMP_MASTER!$A$2:$A$107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EMP_MASTER</vt:lpstr>
      <vt:lpstr>Attendance</vt:lpstr>
      <vt:lpstr>PAYROLL</vt:lpstr>
      <vt:lpstr>DASHBOARD</vt:lpstr>
      <vt:lpstr>PAYSLIP</vt:lpstr>
      <vt:lpstr>PAYSLIP!Print_Area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Soni</dc:creator>
  <cp:lastModifiedBy>Gulshan Soni</cp:lastModifiedBy>
  <cp:lastPrinted>2026-03-26T17:58:52Z</cp:lastPrinted>
  <dcterms:created xsi:type="dcterms:W3CDTF">2026-03-23T15:28:56Z</dcterms:created>
  <dcterms:modified xsi:type="dcterms:W3CDTF">2026-03-26T18:00:23Z</dcterms:modified>
</cp:coreProperties>
</file>